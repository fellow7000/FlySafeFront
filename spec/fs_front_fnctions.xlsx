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low7000/SE/FS_Proj/FlySafeFront/spec/"/>
    </mc:Choice>
  </mc:AlternateContent>
  <xr:revisionPtr revIDLastSave="0" documentId="13_ncr:1_{732D46ED-4FEB-234E-9C13-B4AA809D88BD}" xr6:coauthVersionLast="47" xr6:coauthVersionMax="47" xr10:uidLastSave="{00000000-0000-0000-0000-000000000000}"/>
  <bookViews>
    <workbookView xWindow="1120" yWindow="600" windowWidth="37280" windowHeight="21000" tabRatio="500" activeTab="1" xr2:uid="{00000000-000D-0000-FFFF-FFFF00000000}"/>
  </bookViews>
  <sheets>
    <sheet name="PI" sheetId="1" r:id="rId1"/>
    <sheet name="Roles" sheetId="2" r:id="rId2"/>
    <sheet name="Tech Debts" sheetId="3" r:id="rId3"/>
    <sheet name="Login Type" sheetId="4" r:id="rId4"/>
    <sheet name="Main Navi" sheetId="5" r:id="rId5"/>
    <sheet name="Identity" sheetId="6" r:id="rId6"/>
    <sheet name="Club" sheetId="7" r:id="rId7"/>
    <sheet name="API BackEnd" sheetId="8" r:id="rId8"/>
    <sheet name="Refactor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J15" i="7" l="1"/>
  <c r="J14" i="7"/>
  <c r="J13" i="7"/>
  <c r="J12" i="7"/>
  <c r="J11" i="7"/>
  <c r="J10" i="7"/>
  <c r="J9" i="7"/>
  <c r="J8" i="7"/>
  <c r="J7" i="7"/>
  <c r="J6" i="7"/>
  <c r="J5" i="7"/>
  <c r="J4" i="7"/>
  <c r="J3" i="7"/>
  <c r="I3" i="7"/>
  <c r="J2" i="7"/>
  <c r="K11" i="6"/>
  <c r="K10" i="6"/>
  <c r="K9" i="6"/>
  <c r="K8" i="6"/>
  <c r="K7" i="6"/>
  <c r="K6" i="6"/>
  <c r="K5" i="6"/>
  <c r="K4" i="6"/>
  <c r="K3" i="6"/>
  <c r="K2" i="6"/>
  <c r="K2" i="5"/>
  <c r="K11" i="3"/>
  <c r="K10" i="3"/>
  <c r="K9" i="3"/>
  <c r="K8" i="3"/>
  <c r="J8" i="3"/>
  <c r="K7" i="3"/>
  <c r="J7" i="3"/>
  <c r="K6" i="3"/>
  <c r="J6" i="3"/>
  <c r="K5" i="3"/>
  <c r="J5" i="3"/>
  <c r="J4" i="3"/>
  <c r="J3" i="3"/>
  <c r="K2" i="3"/>
  <c r="J2" i="3"/>
  <c r="G11" i="1"/>
  <c r="F11" i="1"/>
  <c r="G10" i="1"/>
  <c r="F10" i="1"/>
  <c r="G9" i="1"/>
  <c r="F9" i="1"/>
  <c r="G8" i="1"/>
  <c r="F8" i="1"/>
  <c r="G7" i="1"/>
  <c r="F7" i="1"/>
  <c r="G6" i="1"/>
  <c r="G5" i="1"/>
  <c r="G4" i="1"/>
  <c r="G3" i="1"/>
  <c r="G2" i="1"/>
  <c r="F2" i="1"/>
</calcChain>
</file>

<file path=xl/sharedStrings.xml><?xml version="1.0" encoding="utf-8"?>
<sst xmlns="http://schemas.openxmlformats.org/spreadsheetml/2006/main" count="565" uniqueCount="207">
  <si>
    <t>PI Nr.</t>
  </si>
  <si>
    <t>Story</t>
  </si>
  <si>
    <t>In Date</t>
  </si>
  <si>
    <t>Start Date</t>
  </si>
  <si>
    <t>End Date</t>
  </si>
  <si>
    <t>Impl. Days</t>
  </si>
  <si>
    <t>Status</t>
  </si>
  <si>
    <t>Comment</t>
  </si>
  <si>
    <t>Carry-Over</t>
  </si>
  <si>
    <t>PI 1</t>
  </si>
  <si>
    <t>Side / Drawer Menu Concept</t>
  </si>
  <si>
    <t>Think about large / very large screens</t>
  </si>
  <si>
    <t>GetDateTime</t>
  </si>
  <si>
    <t>Shared Preferences Concept</t>
  </si>
  <si>
    <t>Not working on Web</t>
  </si>
  <si>
    <t>AboutDialog</t>
  </si>
  <si>
    <t>Settings Menu Concept</t>
  </si>
  <si>
    <t>StartDialog</t>
  </si>
  <si>
    <t>User Management</t>
  </si>
  <si>
    <t>Club Management</t>
  </si>
  <si>
    <t>Light / Dark Mode Concept</t>
  </si>
  <si>
    <t>Colors set while theme set open</t>
  </si>
  <si>
    <t>Splash Screens</t>
  </si>
  <si>
    <t>Web is open</t>
  </si>
  <si>
    <t>Startup Warning Dialog</t>
  </si>
  <si>
    <t>Exit confirmation</t>
  </si>
  <si>
    <t>About Dialog</t>
  </si>
  <si>
    <t>Font size depending on screen size open</t>
  </si>
  <si>
    <t>Github Repo</t>
  </si>
  <si>
    <t>12.07.2023</t>
  </si>
  <si>
    <t>AccountManage, AppAction, FSA: club_manager IU, GetClubsRolesActionsResponse</t>
  </si>
  <si>
    <t>13.07.2023</t>
  </si>
  <si>
    <t>requestedActions as List&lt;String&gt; from App =&gt; Web =&gt; convert into List&lt;AppActions&gt; =&gt; check resolution =&gt; return to App</t>
  </si>
  <si>
    <t>Next: implement actions for browsing club (get basic info, get user list, add / remove user etc)</t>
  </si>
  <si>
    <t>17.07.2023</t>
  </si>
  <si>
    <t>FSW:</t>
  </si>
  <si>
    <t>Refactor getclubdetails in the ClubController</t>
  </si>
  <si>
    <t>Refactor getClub call → split in two, add check of requested actions, also in ClubService GetClub</t>
  </si>
  <si>
    <t>FSA:</t>
  </si>
  <si>
    <t>Continue on club_details</t>
  </si>
  <si>
    <t>Root</t>
  </si>
  <si>
    <t>Create Club</t>
  </si>
  <si>
    <t>O</t>
  </si>
  <si>
    <t>X</t>
  </si>
  <si>
    <t>Read Club Base Info</t>
  </si>
  <si>
    <t>Get Club Members List</t>
  </si>
  <si>
    <t>Edit Club Base Info</t>
  </si>
  <si>
    <t>Club name, comment, visibility</t>
  </si>
  <si>
    <t>Get Club Members</t>
  </si>
  <si>
    <t>ChangeClubPassword</t>
  </si>
  <si>
    <t>Hand-over Club</t>
  </si>
  <si>
    <t>If club has multiple owners, they shall confirm (process TBD)</t>
  </si>
  <si>
    <t>Join Club</t>
  </si>
  <si>
    <t>Leave Club</t>
  </si>
  <si>
    <t>Delete Club</t>
  </si>
  <si>
    <t>Assign Owner</t>
  </si>
  <si>
    <t>Unassign Owner</t>
  </si>
  <si>
    <t>Assign Manager</t>
  </si>
  <si>
    <t>Unassign Manager</t>
  </si>
  <si>
    <t>Remove Manager</t>
  </si>
  <si>
    <t>Invite Member</t>
  </si>
  <si>
    <t>Remove Member</t>
  </si>
  <si>
    <t>Create Checklist</t>
  </si>
  <si>
    <t>Edit Checklist</t>
  </si>
  <si>
    <t>Read Checklist</t>
  </si>
  <si>
    <t>if visibility setting allows</t>
  </si>
  <si>
    <t>Hand-over Checklist</t>
  </si>
  <si>
    <t>Create Model</t>
  </si>
  <si>
    <t>Edit Model</t>
  </si>
  <si>
    <t>Read Model</t>
  </si>
  <si>
    <t>Hand-Over Model</t>
  </si>
  <si>
    <t>Create Aircraft</t>
  </si>
  <si>
    <t>Edit Aircraft</t>
  </si>
  <si>
    <t>Read Aircraft</t>
  </si>
  <si>
    <t>Hand-over Aircraft</t>
  </si>
  <si>
    <t>Function</t>
  </si>
  <si>
    <t>Sub-Function</t>
  </si>
  <si>
    <t>Debt</t>
  </si>
  <si>
    <t>Prio</t>
  </si>
  <si>
    <t>Complexity</t>
  </si>
  <si>
    <t>API Ver</t>
  </si>
  <si>
    <t>Light / Dark Mode</t>
  </si>
  <si>
    <t>B</t>
  </si>
  <si>
    <t>normal</t>
  </si>
  <si>
    <t>Splash Screen</t>
  </si>
  <si>
    <t>Web</t>
  </si>
  <si>
    <t>Open</t>
  </si>
  <si>
    <t>Android 12+</t>
  </si>
  <si>
    <t>Processing</t>
  </si>
  <si>
    <t>IOS</t>
  </si>
  <si>
    <t>Get Current Date / Time</t>
  </si>
  <si>
    <t>Move to future provider as stream</t>
  </si>
  <si>
    <t>Sig-in</t>
  </si>
  <si>
    <t>Refactor Menu</t>
  </si>
  <si>
    <t>Use-case if user is already signed in (user / club)</t>
  </si>
  <si>
    <t>Font Size in Widgets</t>
  </si>
  <si>
    <t>Switch to Theme Style with delta Size</t>
  </si>
  <si>
    <t>A</t>
  </si>
  <si>
    <t>Routing to Sign-In</t>
  </si>
  <si>
    <t>Go to Sign-in form in case of 401 response</t>
  </si>
  <si>
    <t>Tab order, skip icon button</t>
  </si>
  <si>
    <t>Skip icon buttons for navigation in form</t>
  </si>
  <si>
    <t>Register</t>
  </si>
  <si>
    <t>Active Login</t>
  </si>
  <si>
    <t>Auto Login (credential stored in the App)</t>
  </si>
  <si>
    <t>User Name</t>
  </si>
  <si>
    <t>Plane Text</t>
  </si>
  <si>
    <t>Password</t>
  </si>
  <si>
    <t>Hash</t>
  </si>
  <si>
    <t>Club Name</t>
  </si>
  <si>
    <t>LogAs</t>
  </si>
  <si>
    <t>User</t>
  </si>
  <si>
    <t>UserOrClub</t>
  </si>
  <si>
    <t>Club</t>
  </si>
  <si>
    <t>ListedClub</t>
  </si>
  <si>
    <t>Conditions</t>
  </si>
  <si>
    <t>PI</t>
  </si>
  <si>
    <t>AppBar</t>
  </si>
  <si>
    <t>Settings Icon Top-Right Corner</t>
  </si>
  <si>
    <t>Bottom Panel</t>
  </si>
  <si>
    <t>Account</t>
  </si>
  <si>
    <t>Representation</t>
  </si>
  <si>
    <t>Visibility</t>
  </si>
  <si>
    <t>Register New User</t>
  </si>
  <si>
    <t>API exists</t>
  </si>
  <si>
    <t>Sign-in User from Sing-in Form</t>
  </si>
  <si>
    <t>plain password</t>
  </si>
  <si>
    <t>Sign-in User at App Start</t>
  </si>
  <si>
    <t>hashed password</t>
  </si>
  <si>
    <t>Sign-in User in On-line mode</t>
  </si>
  <si>
    <t>Change User Password</t>
  </si>
  <si>
    <t>Change Email</t>
  </si>
  <si>
    <t>Password shall not be used by other users</t>
  </si>
  <si>
    <t>User Password Recover</t>
  </si>
  <si>
    <t>Change User Avatar</t>
  </si>
  <si>
    <t>C</t>
  </si>
  <si>
    <t>Personal Data Download</t>
  </si>
  <si>
    <t>Delete User</t>
  </si>
  <si>
    <t>Mark user as deleted in DB</t>
  </si>
  <si>
    <t>Days Impl</t>
  </si>
  <si>
    <t>Sing-in Club from Sign-In Form</t>
  </si>
  <si>
    <t>increased</t>
  </si>
  <si>
    <t>Sign-in Club at App Start</t>
  </si>
  <si>
    <t>Sign-in Club Once switching to On-Line</t>
  </si>
  <si>
    <t>Rename Club</t>
  </si>
  <si>
    <t>Change Club Password</t>
  </si>
  <si>
    <t>Change Club Avatar</t>
  </si>
  <si>
    <t>N/A for V4</t>
  </si>
  <si>
    <t>Change Club Visibility</t>
  </si>
  <si>
    <t>Add members to Club</t>
  </si>
  <si>
    <t>Remove members to Club</t>
  </si>
  <si>
    <t>Set roles to members</t>
  </si>
  <si>
    <t>Identity</t>
  </si>
  <si>
    <t>Current Response Codes</t>
  </si>
  <si>
    <t>Admin Block</t>
  </si>
  <si>
    <t>SrvUsr Block</t>
  </si>
  <si>
    <t>Test Normal</t>
  </si>
  <si>
    <t>Test Corner</t>
  </si>
  <si>
    <t>Locale</t>
  </si>
  <si>
    <t>Register a new user and a dedicated club</t>
  </si>
  <si>
    <t>Ok / Conflict</t>
  </si>
  <si>
    <t>N/A</t>
  </si>
  <si>
    <t>Ok</t>
  </si>
  <si>
    <t>Login</t>
  </si>
  <si>
    <t>Sing-in to the system as user or club</t>
  </si>
  <si>
    <t>Ok / Unauthorized</t>
  </si>
  <si>
    <t>CheckUserNameFree</t>
  </si>
  <si>
    <t>Checks if provided user name is free</t>
  </si>
  <si>
    <t>ChangeUserPassword</t>
  </si>
  <si>
    <t>Shall be requested by a user</t>
  </si>
  <si>
    <t>Fail</t>
  </si>
  <si>
    <t>CheckEmailFree</t>
  </si>
  <si>
    <t>Checks if provided email is free</t>
  </si>
  <si>
    <t>ChangeUserEmail</t>
  </si>
  <si>
    <t>RequestUserPasswordReset</t>
  </si>
  <si>
    <t>GetUserProfile</t>
  </si>
  <si>
    <t>DeleteUserProfile</t>
  </si>
  <si>
    <t>CreateClub</t>
  </si>
  <si>
    <t>Create a new club by a user request</t>
  </si>
  <si>
    <t>GetPublicClubs</t>
  </si>
  <si>
    <t>Get the list of public clubs</t>
  </si>
  <si>
    <t>CheckClubNameFree</t>
  </si>
  <si>
    <t>Checks if provided club name is free</t>
  </si>
  <si>
    <t>JoinClub</t>
  </si>
  <si>
    <t>GetClubDetails</t>
  </si>
  <si>
    <t>Checklist</t>
  </si>
  <si>
    <t>ReadCheckList</t>
  </si>
  <si>
    <t>Ok / Conflict / Unauthorized / NotFound</t>
  </si>
  <si>
    <t>Previous Type</t>
  </si>
  <si>
    <t>New Type</t>
  </si>
  <si>
    <t>Changes</t>
  </si>
  <si>
    <t>check username free</t>
  </si>
  <si>
    <t>CheckUserNameFreeResult</t>
  </si>
  <si>
    <t>CheckValueValidResponse</t>
  </si>
  <si>
    <t>IsValueValid</t>
  </si>
  <si>
    <t>Delete file after refactor</t>
  </si>
  <si>
    <t>check email free</t>
  </si>
  <si>
    <t>CheckEmailFreeResult</t>
  </si>
  <si>
    <t>Add Member</t>
  </si>
  <si>
    <t>Controller</t>
  </si>
  <si>
    <t>Model</t>
  </si>
  <si>
    <t>Aircraft</t>
  </si>
  <si>
    <t>Club_Owner</t>
  </si>
  <si>
    <t>Club_Manager</t>
  </si>
  <si>
    <t>Club_Member</t>
  </si>
  <si>
    <t>Club_Guest</t>
  </si>
  <si>
    <t>2026-03-21 - NOT YET IN THE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</si>
</sst>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7]dd/mm/yyyy"/>
    <numFmt numFmtId="165" formatCode="[$-407]General"/>
  </numFmts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A933"/>
        <bgColor rgb="FF008080"/>
      </patternFill>
    </fill>
    <fill>
      <patternFill patternType="solid">
        <fgColor rgb="FF729FCF"/>
        <bgColor rgb="FF96969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Border="0" applyProtection="0"/>
    <xf numFmtId="0" fontId="2" fillId="3" borderId="0" applyBorder="0" applyProtection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3">
    <cellStyle name="Green" xfId="1" xr:uid="{00000000-0005-0000-0000-000006000000}"/>
    <cellStyle name="Normal" xfId="0" builtinId="0"/>
    <cellStyle name="Untitled1" xfId="2" xr:uid="{00000000-0005-0000-0000-000007000000}"/>
  </cellStyles>
  <dxfs count="62">
    <dxf>
      <font>
        <color rgb="FFCC0000"/>
        <name val="Arial"/>
        <family val="2"/>
        <charset val="1"/>
      </font>
      <fill>
        <patternFill>
          <bgColor rgb="FFFFCCCC"/>
        </patternFill>
      </fill>
    </dxf>
    <dxf>
      <font>
        <color rgb="FF996600"/>
        <name val="Arial"/>
        <family val="2"/>
        <charset val="1"/>
      </font>
      <fill>
        <patternFill>
          <bgColor rgb="FFFFFFCC"/>
        </patternFill>
      </fill>
    </dxf>
    <dxf>
      <font>
        <color rgb="FF006600"/>
        <name val="Arial"/>
        <family val="2"/>
        <charset val="1"/>
      </font>
      <fill>
        <patternFill>
          <bgColor rgb="FFCCFFCC"/>
        </patternFill>
      </fill>
    </dxf>
    <dxf>
      <font>
        <color rgb="FFCC0000"/>
        <name val="Arial"/>
        <family val="2"/>
        <charset val="1"/>
      </font>
      <fill>
        <patternFill>
          <bgColor rgb="FFFFCCCC"/>
        </patternFill>
      </fill>
    </dxf>
    <dxf>
      <font>
        <color rgb="FF333333"/>
        <name val="Arial"/>
        <family val="2"/>
        <charset val="1"/>
      </font>
      <fill>
        <patternFill>
          <bgColor rgb="FFFFFFCC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charset val="1"/>
      </font>
      <fill>
        <patternFill>
          <bgColor rgb="FF00A933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color rgb="FF996600"/>
        <name val="Arial"/>
        <family val="2"/>
        <charset val="1"/>
      </font>
      <fill>
        <patternFill>
          <bgColor rgb="FFFFFFCC"/>
        </patternFill>
      </fill>
    </dxf>
    <dxf>
      <font>
        <b/>
        <color rgb="FFFFFFFF"/>
        <name val="Arial"/>
        <family val="2"/>
        <charset val="1"/>
      </font>
      <fill>
        <patternFill>
          <bgColor rgb="FFCC0000"/>
        </patternFill>
      </fill>
    </dxf>
    <dxf>
      <font>
        <color rgb="FFCC0000"/>
        <name val="Arial"/>
        <family val="2"/>
        <charset val="1"/>
      </font>
      <fill>
        <patternFill>
          <bgColor rgb="FFFFCCCC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b/>
        <color rgb="FFFFFFFF"/>
        <name val="Arial"/>
        <family val="2"/>
        <charset val="1"/>
      </font>
      <fill>
        <patternFill>
          <bgColor rgb="FFCC0000"/>
        </patternFill>
      </fill>
    </dxf>
    <dxf>
      <font>
        <color rgb="FFCC0000"/>
        <name val="Arial"/>
        <family val="2"/>
        <charset val="1"/>
      </font>
      <fill>
        <patternFill>
          <bgColor rgb="FFFFCCCC"/>
        </patternFill>
      </fill>
    </dxf>
    <dxf>
      <font>
        <color rgb="FF996600"/>
        <name val="Arial"/>
        <family val="2"/>
        <charset val="1"/>
      </font>
      <fill>
        <patternFill>
          <bgColor rgb="FFFFFFCC"/>
        </patternFill>
      </fill>
    </dxf>
    <dxf>
      <font>
        <color rgb="FFCC0000"/>
        <name val="Arial"/>
        <family val="2"/>
        <charset val="1"/>
      </font>
      <fill>
        <patternFill>
          <bgColor rgb="FFFFCCCC"/>
        </patternFill>
      </fill>
    </dxf>
    <dxf>
      <font>
        <color rgb="FFCC0000"/>
        <name val="Arial"/>
        <family val="2"/>
        <charset val="1"/>
      </font>
      <fill>
        <patternFill>
          <bgColor rgb="FFFFCCCC"/>
        </patternFill>
      </fill>
    </dxf>
    <dxf>
      <font>
        <color rgb="FF333333"/>
        <name val="Arial"/>
        <family val="2"/>
        <charset val="1"/>
      </font>
      <fill>
        <patternFill>
          <bgColor rgb="FFFFFFCC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charset val="1"/>
      </font>
      <fill>
        <patternFill>
          <bgColor rgb="FF00A933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color rgb="FF996600"/>
        <name val="Arial"/>
        <family val="2"/>
        <charset val="1"/>
      </font>
      <fill>
        <patternFill>
          <bgColor rgb="FFFFFFCC"/>
        </patternFill>
      </fill>
    </dxf>
    <dxf>
      <font>
        <b/>
        <color rgb="FFFFFFFF"/>
        <name val="Arial"/>
        <family val="2"/>
        <charset val="1"/>
      </font>
      <fill>
        <patternFill>
          <bgColor rgb="FFCC0000"/>
        </patternFill>
      </fill>
    </dxf>
    <dxf>
      <font>
        <color rgb="FFCC0000"/>
        <name val="Arial"/>
        <family val="2"/>
        <charset val="1"/>
      </font>
      <fill>
        <patternFill>
          <bgColor rgb="FFFFCCCC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color rgb="FFCC0000"/>
        <name val="Arial"/>
        <family val="2"/>
        <charset val="1"/>
      </font>
      <fill>
        <patternFill>
          <bgColor rgb="FFFFCCCC"/>
        </patternFill>
      </fill>
    </dxf>
    <dxf>
      <font>
        <color rgb="FFCC0000"/>
        <name val="Arial"/>
        <family val="2"/>
        <charset val="1"/>
      </font>
      <fill>
        <patternFill>
          <bgColor rgb="FFFFCCCC"/>
        </patternFill>
      </fill>
    </dxf>
    <dxf>
      <font>
        <color rgb="FF333333"/>
        <name val="Arial"/>
        <family val="2"/>
        <charset val="1"/>
      </font>
      <fill>
        <patternFill>
          <bgColor rgb="FFFFFFCC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charset val="1"/>
      </font>
      <fill>
        <patternFill>
          <bgColor rgb="FF00A933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color rgb="FF996600"/>
        <name val="Arial"/>
        <family val="2"/>
        <charset val="1"/>
      </font>
      <fill>
        <patternFill>
          <bgColor rgb="FFFFFFCC"/>
        </patternFill>
      </fill>
    </dxf>
    <dxf>
      <font>
        <b/>
        <color rgb="FFFFFFFF"/>
        <name val="Arial"/>
        <family val="2"/>
        <charset val="1"/>
      </font>
      <fill>
        <patternFill>
          <bgColor rgb="FFCC0000"/>
        </patternFill>
      </fill>
    </dxf>
    <dxf>
      <font>
        <color rgb="FFCC0000"/>
        <name val="Arial"/>
        <family val="2"/>
        <charset val="1"/>
      </font>
      <fill>
        <patternFill>
          <bgColor rgb="FFFFCCCC"/>
        </patternFill>
      </fill>
    </dxf>
    <dxf>
      <font>
        <color rgb="FFCC0000"/>
        <name val="Arial"/>
        <family val="2"/>
        <charset val="1"/>
      </font>
      <fill>
        <patternFill>
          <bgColor rgb="FFFFCCCC"/>
        </patternFill>
      </fill>
    </dxf>
    <dxf>
      <font>
        <color rgb="FFCC0000"/>
        <name val="Arial"/>
        <family val="2"/>
        <charset val="1"/>
      </font>
      <fill>
        <patternFill>
          <bgColor rgb="FFFFCCCC"/>
        </patternFill>
      </fill>
    </dxf>
    <dxf>
      <font>
        <color rgb="FF333333"/>
        <name val="Arial"/>
        <family val="2"/>
        <charset val="1"/>
      </font>
      <fill>
        <patternFill>
          <bgColor rgb="FFFFFFCC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charset val="1"/>
      </font>
      <fill>
        <patternFill>
          <bgColor rgb="FF00A933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name val="Arial"/>
        <family val="2"/>
        <charset val="1"/>
      </font>
      <fill>
        <patternFill>
          <bgColor rgb="FF729FCF"/>
        </patternFill>
      </fill>
    </dxf>
    <dxf>
      <font>
        <color rgb="FF996600"/>
        <name val="Arial"/>
        <family val="2"/>
        <charset val="1"/>
      </font>
      <fill>
        <patternFill>
          <bgColor rgb="FFFFFFCC"/>
        </patternFill>
      </fill>
    </dxf>
    <dxf>
      <font>
        <b/>
        <color rgb="FFFFFFFF"/>
        <name val="Arial"/>
        <family val="2"/>
        <charset val="1"/>
      </font>
      <fill>
        <patternFill>
          <bgColor rgb="FFCC0000"/>
        </patternFill>
      </fill>
    </dxf>
    <dxf>
      <font>
        <color rgb="FFCC0000"/>
        <name val="Arial"/>
        <family val="2"/>
        <charset val="1"/>
      </font>
      <fill>
        <patternFill>
          <bgColor rgb="FFFFCCCC"/>
        </patternFill>
      </fill>
    </dxf>
    <dxf>
      <font>
        <b val="0"/>
        <i val="0"/>
        <strike val="0"/>
        <outline val="0"/>
        <shadow val="0"/>
        <u val="none"/>
        <sz val="10"/>
        <color rgb="FFFFFFFF"/>
        <name val="Arial"/>
        <family val="2"/>
        <charset val="1"/>
      </font>
      <numFmt numFmtId="0" formatCode="General"/>
      <fill>
        <patternFill>
          <bgColor rgb="FF00A933"/>
        </patternFill>
      </fill>
    </dxf>
    <dxf>
      <font>
        <color rgb="FFCC0000"/>
        <name val="Arial"/>
        <family val="2"/>
        <charset val="1"/>
      </font>
      <fill>
        <patternFill>
          <bgColor rgb="FFFFCCCC"/>
        </patternFill>
      </fill>
    </dxf>
    <dxf>
      <font>
        <color rgb="FFCC0000"/>
        <name val="Arial"/>
        <family val="2"/>
        <charset val="1"/>
      </font>
      <fill>
        <patternFill>
          <bgColor rgb="FFFFCCCC"/>
        </patternFill>
      </fill>
    </dxf>
    <dxf>
      <font>
        <b val="0"/>
        <i val="0"/>
        <strike val="0"/>
        <outline val="0"/>
        <shadow val="0"/>
        <u val="none"/>
        <sz val="10"/>
        <color rgb="FFFFFFFF"/>
        <name val="Arial"/>
        <family val="2"/>
        <charset val="1"/>
      </font>
      <numFmt numFmtId="0" formatCode="General"/>
      <fill>
        <patternFill>
          <bgColor rgb="FF00A933"/>
        </patternFill>
      </fill>
    </dxf>
    <dxf>
      <font>
        <color rgb="FFCC0000"/>
        <name val="Arial"/>
        <family val="2"/>
        <charset val="1"/>
      </font>
      <fill>
        <patternFill>
          <bgColor rgb="FFFFCCCC"/>
        </patternFill>
      </fill>
    </dxf>
    <dxf>
      <font>
        <color rgb="FF333333"/>
        <name val="Arial"/>
        <family val="2"/>
        <charset val="1"/>
      </font>
      <fill>
        <patternFill>
          <bgColor rgb="FFFFFFCC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charset val="1"/>
      </font>
      <fill>
        <patternFill>
          <bgColor rgb="FF00A93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zoomScale="130" zoomScaleNormal="130" workbookViewId="0">
      <selection activeCell="G30" sqref="G30"/>
    </sheetView>
  </sheetViews>
  <sheetFormatPr baseColWidth="10" defaultColWidth="11.6640625" defaultRowHeight="13" x14ac:dyDescent="0.15"/>
  <cols>
    <col min="2" max="2" width="26" customWidth="1"/>
    <col min="3" max="5" width="11.5" style="1" customWidth="1"/>
    <col min="6" max="6" width="11.5" style="2" customWidth="1"/>
    <col min="7" max="7" width="34.1640625" customWidth="1"/>
    <col min="8" max="8" width="18.6640625" customWidth="1"/>
  </cols>
  <sheetData>
    <row r="1" spans="1:12" x14ac:dyDescent="0.1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4" t="s">
        <v>6</v>
      </c>
      <c r="H1" s="4" t="s">
        <v>7</v>
      </c>
      <c r="L1" s="4" t="s">
        <v>8</v>
      </c>
    </row>
    <row r="2" spans="1:12" x14ac:dyDescent="0.15">
      <c r="A2" s="8" t="s">
        <v>9</v>
      </c>
      <c r="B2" t="s">
        <v>10</v>
      </c>
      <c r="C2" s="1">
        <v>44920</v>
      </c>
      <c r="D2" s="1">
        <v>44920</v>
      </c>
      <c r="E2" s="1">
        <v>44920</v>
      </c>
      <c r="F2" s="2">
        <f>E2-D2</f>
        <v>0</v>
      </c>
      <c r="G2" t="str">
        <f t="shared" ref="G2:G11" si="0">IF(ISBLANK(D2),"Open",(IF(ISBLANK($E2),"Processing","Done")))</f>
        <v>Done</v>
      </c>
      <c r="H2" t="s">
        <v>11</v>
      </c>
      <c r="L2" t="s">
        <v>12</v>
      </c>
    </row>
    <row r="3" spans="1:12" x14ac:dyDescent="0.15">
      <c r="A3" s="8"/>
      <c r="B3" t="s">
        <v>13</v>
      </c>
      <c r="C3" s="1">
        <v>44920</v>
      </c>
      <c r="D3" s="1">
        <v>44920</v>
      </c>
      <c r="G3" t="str">
        <f t="shared" si="0"/>
        <v>Processing</v>
      </c>
      <c r="H3" t="s">
        <v>14</v>
      </c>
      <c r="L3" t="s">
        <v>15</v>
      </c>
    </row>
    <row r="4" spans="1:12" x14ac:dyDescent="0.15">
      <c r="A4" s="8"/>
      <c r="B4" t="s">
        <v>16</v>
      </c>
      <c r="C4" s="1">
        <v>44920</v>
      </c>
      <c r="D4" s="1">
        <v>44929</v>
      </c>
      <c r="G4" t="str">
        <f t="shared" si="0"/>
        <v>Processing</v>
      </c>
      <c r="L4" t="s">
        <v>17</v>
      </c>
    </row>
    <row r="5" spans="1:12" x14ac:dyDescent="0.15">
      <c r="A5" s="8"/>
      <c r="B5" t="s">
        <v>18</v>
      </c>
      <c r="C5" s="1">
        <v>44920</v>
      </c>
      <c r="D5" s="1">
        <v>45017</v>
      </c>
      <c r="E5" s="1">
        <v>45047</v>
      </c>
      <c r="G5" t="str">
        <f t="shared" si="0"/>
        <v>Done</v>
      </c>
    </row>
    <row r="6" spans="1:12" x14ac:dyDescent="0.15">
      <c r="A6" s="8"/>
      <c r="B6" t="s">
        <v>19</v>
      </c>
      <c r="C6" s="1">
        <v>44920</v>
      </c>
      <c r="D6" s="1">
        <v>45017</v>
      </c>
      <c r="G6" t="str">
        <f t="shared" si="0"/>
        <v>Processing</v>
      </c>
    </row>
    <row r="7" spans="1:12" x14ac:dyDescent="0.15">
      <c r="A7" s="8"/>
      <c r="B7" t="s">
        <v>20</v>
      </c>
      <c r="C7" s="1">
        <v>44920</v>
      </c>
      <c r="D7" s="1">
        <v>44920</v>
      </c>
      <c r="F7" s="2">
        <f>E7-D7</f>
        <v>-44920</v>
      </c>
      <c r="G7" t="str">
        <f t="shared" si="0"/>
        <v>Processing</v>
      </c>
      <c r="H7" t="s">
        <v>21</v>
      </c>
    </row>
    <row r="8" spans="1:12" x14ac:dyDescent="0.15">
      <c r="A8" s="8"/>
      <c r="B8" t="s">
        <v>22</v>
      </c>
      <c r="C8" s="1">
        <v>44920</v>
      </c>
      <c r="D8" s="1">
        <v>44920</v>
      </c>
      <c r="E8" s="1">
        <v>44920</v>
      </c>
      <c r="F8" s="2">
        <f>E8-D8</f>
        <v>0</v>
      </c>
      <c r="G8" t="str">
        <f t="shared" si="0"/>
        <v>Done</v>
      </c>
      <c r="H8" t="s">
        <v>23</v>
      </c>
    </row>
    <row r="9" spans="1:12" x14ac:dyDescent="0.15">
      <c r="A9" s="8"/>
      <c r="B9" t="s">
        <v>24</v>
      </c>
      <c r="C9" s="1">
        <v>44920</v>
      </c>
      <c r="D9" s="1">
        <v>44923</v>
      </c>
      <c r="E9" s="1">
        <v>44923</v>
      </c>
      <c r="F9" s="2">
        <f>E9-D9</f>
        <v>0</v>
      </c>
      <c r="G9" t="str">
        <f t="shared" si="0"/>
        <v>Done</v>
      </c>
    </row>
    <row r="10" spans="1:12" x14ac:dyDescent="0.15">
      <c r="A10" s="8"/>
      <c r="B10" t="s">
        <v>25</v>
      </c>
      <c r="C10" s="1">
        <v>44920</v>
      </c>
      <c r="D10" s="1">
        <v>44923</v>
      </c>
      <c r="E10" s="1">
        <v>44923</v>
      </c>
      <c r="F10" s="2">
        <f>E10-D10</f>
        <v>0</v>
      </c>
      <c r="G10" t="str">
        <f t="shared" si="0"/>
        <v>Done</v>
      </c>
    </row>
    <row r="11" spans="1:12" x14ac:dyDescent="0.15">
      <c r="A11" s="8"/>
      <c r="B11" t="s">
        <v>26</v>
      </c>
      <c r="C11" s="1">
        <v>44920</v>
      </c>
      <c r="D11" s="1">
        <v>44921</v>
      </c>
      <c r="E11" s="1">
        <v>44921</v>
      </c>
      <c r="F11" s="2">
        <f>E11-D11</f>
        <v>0</v>
      </c>
      <c r="G11" t="str">
        <f t="shared" si="0"/>
        <v>Done</v>
      </c>
      <c r="H11" t="s">
        <v>27</v>
      </c>
    </row>
    <row r="12" spans="1:12" x14ac:dyDescent="0.15">
      <c r="A12" s="8"/>
      <c r="B12" t="s">
        <v>28</v>
      </c>
      <c r="C12" s="1">
        <v>44920</v>
      </c>
    </row>
    <row r="16" spans="1:12" x14ac:dyDescent="0.15">
      <c r="A16" t="s">
        <v>29</v>
      </c>
      <c r="B16" t="s">
        <v>30</v>
      </c>
    </row>
    <row r="17" spans="1:2" x14ac:dyDescent="0.15">
      <c r="A17" t="s">
        <v>31</v>
      </c>
      <c r="B17" t="s">
        <v>32</v>
      </c>
    </row>
    <row r="18" spans="1:2" x14ac:dyDescent="0.15">
      <c r="B18" t="s">
        <v>33</v>
      </c>
    </row>
    <row r="19" spans="1:2" x14ac:dyDescent="0.15">
      <c r="A19" t="s">
        <v>34</v>
      </c>
      <c r="B19" t="s">
        <v>35</v>
      </c>
    </row>
    <row r="20" spans="1:2" x14ac:dyDescent="0.15">
      <c r="B20" t="s">
        <v>36</v>
      </c>
    </row>
    <row r="21" spans="1:2" x14ac:dyDescent="0.15">
      <c r="B21" t="s">
        <v>37</v>
      </c>
    </row>
    <row r="22" spans="1:2" x14ac:dyDescent="0.15">
      <c r="B22" t="s">
        <v>38</v>
      </c>
    </row>
    <row r="23" spans="1:2" x14ac:dyDescent="0.15">
      <c r="B23" t="s">
        <v>39</v>
      </c>
    </row>
  </sheetData>
  <mergeCells count="1">
    <mergeCell ref="A2:A12"/>
  </mergeCells>
  <conditionalFormatting sqref="G1:G1048576">
    <cfRule type="cellIs" dxfId="61" priority="2" operator="equal">
      <formula>"Done"</formula>
    </cfRule>
    <cfRule type="cellIs" dxfId="60" priority="3" operator="equal">
      <formula>"Processing"</formula>
    </cfRule>
    <cfRule type="cellIs" dxfId="59" priority="4" operator="equal">
      <formula>"Open"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abSelected="1" zoomScale="130" zoomScaleNormal="130" workbookViewId="0">
      <selection activeCell="M16" sqref="M16"/>
    </sheetView>
  </sheetViews>
  <sheetFormatPr baseColWidth="10" defaultColWidth="11.5" defaultRowHeight="13" x14ac:dyDescent="0.15"/>
  <cols>
    <col min="1" max="1" width="20" customWidth="1"/>
    <col min="2" max="2" width="10.6640625" customWidth="1"/>
    <col min="3" max="7" width="11.5" style="7"/>
  </cols>
  <sheetData>
    <row r="1" spans="1:8" s="4" customFormat="1" x14ac:dyDescent="0.15">
      <c r="A1"/>
      <c r="B1" t="s">
        <v>199</v>
      </c>
      <c r="C1" s="3" t="s">
        <v>40</v>
      </c>
      <c r="D1" s="3" t="s">
        <v>202</v>
      </c>
      <c r="E1" s="3" t="s">
        <v>203</v>
      </c>
      <c r="F1" s="3" t="s">
        <v>204</v>
      </c>
      <c r="G1" s="3" t="s">
        <v>205</v>
      </c>
    </row>
    <row r="2" spans="1:8" x14ac:dyDescent="0.15">
      <c r="A2" t="s">
        <v>41</v>
      </c>
      <c r="B2" t="s">
        <v>113</v>
      </c>
      <c r="C2" s="7" t="s">
        <v>42</v>
      </c>
      <c r="D2" s="7" t="s">
        <v>43</v>
      </c>
      <c r="E2" s="7" t="s">
        <v>43</v>
      </c>
      <c r="F2" s="7" t="s">
        <v>43</v>
      </c>
      <c r="G2" s="7" t="s">
        <v>42</v>
      </c>
    </row>
    <row r="3" spans="1:8" x14ac:dyDescent="0.15">
      <c r="A3" t="s">
        <v>44</v>
      </c>
      <c r="B3" t="s">
        <v>113</v>
      </c>
      <c r="C3" s="7" t="s">
        <v>43</v>
      </c>
      <c r="D3" s="7" t="s">
        <v>43</v>
      </c>
      <c r="E3" s="7" t="s">
        <v>43</v>
      </c>
      <c r="F3" s="7" t="s">
        <v>43</v>
      </c>
      <c r="G3" s="7" t="s">
        <v>43</v>
      </c>
    </row>
    <row r="4" spans="1:8" x14ac:dyDescent="0.15">
      <c r="A4" t="s">
        <v>45</v>
      </c>
      <c r="B4" t="s">
        <v>113</v>
      </c>
      <c r="C4" s="7" t="s">
        <v>43</v>
      </c>
      <c r="D4" s="7" t="s">
        <v>43</v>
      </c>
      <c r="E4" s="7" t="s">
        <v>43</v>
      </c>
      <c r="F4" s="7" t="s">
        <v>43</v>
      </c>
      <c r="G4" s="7" t="s">
        <v>42</v>
      </c>
    </row>
    <row r="5" spans="1:8" x14ac:dyDescent="0.15">
      <c r="A5" t="s">
        <v>46</v>
      </c>
      <c r="B5" t="s">
        <v>113</v>
      </c>
      <c r="C5" s="7" t="s">
        <v>43</v>
      </c>
      <c r="D5" s="7" t="s">
        <v>43</v>
      </c>
      <c r="E5" s="7" t="s">
        <v>42</v>
      </c>
      <c r="F5" s="7" t="s">
        <v>42</v>
      </c>
      <c r="G5" s="7" t="s">
        <v>42</v>
      </c>
      <c r="H5" t="s">
        <v>47</v>
      </c>
    </row>
    <row r="6" spans="1:8" x14ac:dyDescent="0.15">
      <c r="A6" t="s">
        <v>48</v>
      </c>
      <c r="B6" t="s">
        <v>113</v>
      </c>
      <c r="C6" s="7" t="s">
        <v>43</v>
      </c>
      <c r="D6" s="7" t="s">
        <v>43</v>
      </c>
      <c r="E6" s="7" t="s">
        <v>43</v>
      </c>
      <c r="F6" s="7" t="s">
        <v>43</v>
      </c>
      <c r="G6" s="7" t="s">
        <v>42</v>
      </c>
    </row>
    <row r="7" spans="1:8" s="4" customFormat="1" x14ac:dyDescent="0.15">
      <c r="A7" t="s">
        <v>49</v>
      </c>
      <c r="B7" t="s">
        <v>113</v>
      </c>
      <c r="C7" s="7" t="s">
        <v>43</v>
      </c>
      <c r="D7" s="7" t="s">
        <v>43</v>
      </c>
      <c r="E7" s="7" t="s">
        <v>43</v>
      </c>
      <c r="F7" s="7" t="s">
        <v>42</v>
      </c>
      <c r="G7" s="7" t="s">
        <v>42</v>
      </c>
    </row>
    <row r="8" spans="1:8" x14ac:dyDescent="0.15">
      <c r="A8" t="s">
        <v>50</v>
      </c>
      <c r="B8" t="s">
        <v>113</v>
      </c>
      <c r="C8" s="7" t="s">
        <v>43</v>
      </c>
      <c r="D8" s="7" t="s">
        <v>43</v>
      </c>
      <c r="E8" s="7" t="s">
        <v>42</v>
      </c>
      <c r="F8" s="7" t="s">
        <v>42</v>
      </c>
      <c r="G8" s="7" t="s">
        <v>42</v>
      </c>
      <c r="H8" t="s">
        <v>51</v>
      </c>
    </row>
    <row r="9" spans="1:8" x14ac:dyDescent="0.15">
      <c r="A9" t="s">
        <v>52</v>
      </c>
      <c r="B9" t="s">
        <v>113</v>
      </c>
      <c r="C9" s="7" t="s">
        <v>42</v>
      </c>
      <c r="D9" s="7" t="s">
        <v>43</v>
      </c>
      <c r="E9" s="7" t="s">
        <v>43</v>
      </c>
      <c r="F9" s="7" t="s">
        <v>43</v>
      </c>
      <c r="G9" s="7" t="s">
        <v>42</v>
      </c>
    </row>
    <row r="10" spans="1:8" x14ac:dyDescent="0.15">
      <c r="A10" t="s">
        <v>53</v>
      </c>
      <c r="B10" t="s">
        <v>113</v>
      </c>
      <c r="C10" s="7" t="s">
        <v>42</v>
      </c>
      <c r="D10" s="7" t="s">
        <v>42</v>
      </c>
      <c r="E10" s="7" t="s">
        <v>43</v>
      </c>
      <c r="F10" s="7" t="s">
        <v>43</v>
      </c>
      <c r="G10" s="7" t="s">
        <v>42</v>
      </c>
    </row>
    <row r="11" spans="1:8" x14ac:dyDescent="0.15">
      <c r="A11" t="s">
        <v>54</v>
      </c>
      <c r="B11" t="s">
        <v>113</v>
      </c>
      <c r="C11" s="7" t="s">
        <v>43</v>
      </c>
      <c r="D11" s="7" t="s">
        <v>43</v>
      </c>
      <c r="E11" s="7" t="s">
        <v>42</v>
      </c>
      <c r="F11" s="7" t="s">
        <v>42</v>
      </c>
      <c r="G11" s="7" t="s">
        <v>42</v>
      </c>
      <c r="H11" t="s">
        <v>51</v>
      </c>
    </row>
    <row r="12" spans="1:8" x14ac:dyDescent="0.15">
      <c r="A12" t="s">
        <v>55</v>
      </c>
      <c r="B12" t="s">
        <v>113</v>
      </c>
      <c r="C12" s="7" t="s">
        <v>43</v>
      </c>
      <c r="D12" s="7" t="s">
        <v>43</v>
      </c>
      <c r="E12" s="7" t="s">
        <v>42</v>
      </c>
      <c r="F12" s="7" t="s">
        <v>42</v>
      </c>
      <c r="G12" s="7" t="s">
        <v>42</v>
      </c>
    </row>
    <row r="13" spans="1:8" x14ac:dyDescent="0.15">
      <c r="A13" t="s">
        <v>56</v>
      </c>
      <c r="B13" t="s">
        <v>113</v>
      </c>
      <c r="C13" s="7" t="s">
        <v>43</v>
      </c>
      <c r="D13" s="7" t="s">
        <v>42</v>
      </c>
      <c r="E13" s="7" t="s">
        <v>42</v>
      </c>
      <c r="F13" s="7" t="s">
        <v>42</v>
      </c>
      <c r="G13" s="7" t="s">
        <v>42</v>
      </c>
    </row>
    <row r="14" spans="1:8" x14ac:dyDescent="0.15">
      <c r="A14" t="s">
        <v>57</v>
      </c>
      <c r="B14" t="s">
        <v>113</v>
      </c>
      <c r="C14" s="7" t="s">
        <v>43</v>
      </c>
      <c r="D14" s="7" t="s">
        <v>43</v>
      </c>
      <c r="E14" s="7" t="s">
        <v>42</v>
      </c>
      <c r="F14" s="7" t="s">
        <v>42</v>
      </c>
      <c r="G14" s="7" t="s">
        <v>42</v>
      </c>
    </row>
    <row r="15" spans="1:8" x14ac:dyDescent="0.15">
      <c r="A15" t="s">
        <v>58</v>
      </c>
      <c r="B15" t="s">
        <v>113</v>
      </c>
      <c r="C15" s="7" t="s">
        <v>43</v>
      </c>
      <c r="D15" s="7" t="s">
        <v>43</v>
      </c>
      <c r="E15" s="7" t="s">
        <v>42</v>
      </c>
      <c r="F15" s="7" t="s">
        <v>42</v>
      </c>
      <c r="G15" s="7" t="s">
        <v>42</v>
      </c>
    </row>
    <row r="16" spans="1:8" x14ac:dyDescent="0.15">
      <c r="A16" t="s">
        <v>59</v>
      </c>
      <c r="B16" t="s">
        <v>113</v>
      </c>
      <c r="C16" s="7" t="s">
        <v>43</v>
      </c>
      <c r="D16" s="7" t="s">
        <v>43</v>
      </c>
      <c r="E16" s="7" t="s">
        <v>42</v>
      </c>
      <c r="F16" s="7" t="s">
        <v>42</v>
      </c>
      <c r="G16" s="7" t="s">
        <v>42</v>
      </c>
    </row>
    <row r="17" spans="1:8" x14ac:dyDescent="0.15">
      <c r="A17" t="s">
        <v>198</v>
      </c>
      <c r="B17" t="s">
        <v>113</v>
      </c>
      <c r="C17" s="7" t="s">
        <v>43</v>
      </c>
      <c r="D17" s="7" t="s">
        <v>43</v>
      </c>
      <c r="E17" s="7" t="s">
        <v>43</v>
      </c>
      <c r="F17" s="7" t="s">
        <v>42</v>
      </c>
      <c r="G17" s="7" t="s">
        <v>42</v>
      </c>
      <c r="H17" s="10" t="s">
        <v>206</v>
      </c>
    </row>
    <row r="18" spans="1:8" x14ac:dyDescent="0.15">
      <c r="A18" t="s">
        <v>60</v>
      </c>
      <c r="B18" t="s">
        <v>113</v>
      </c>
      <c r="C18" s="7" t="s">
        <v>43</v>
      </c>
      <c r="D18" s="7" t="s">
        <v>43</v>
      </c>
      <c r="E18" s="7" t="s">
        <v>43</v>
      </c>
      <c r="F18" s="7" t="s">
        <v>42</v>
      </c>
      <c r="G18" s="7" t="s">
        <v>42</v>
      </c>
    </row>
    <row r="19" spans="1:8" x14ac:dyDescent="0.15">
      <c r="A19" t="s">
        <v>61</v>
      </c>
      <c r="B19" t="s">
        <v>113</v>
      </c>
      <c r="C19" s="7" t="s">
        <v>43</v>
      </c>
      <c r="D19" s="7" t="s">
        <v>43</v>
      </c>
      <c r="E19" s="7" t="s">
        <v>43</v>
      </c>
      <c r="F19" s="7" t="s">
        <v>42</v>
      </c>
      <c r="G19" s="7" t="s">
        <v>42</v>
      </c>
    </row>
    <row r="20" spans="1:8" x14ac:dyDescent="0.15">
      <c r="A20" t="s">
        <v>62</v>
      </c>
      <c r="B20" t="s">
        <v>185</v>
      </c>
      <c r="C20" s="7" t="s">
        <v>43</v>
      </c>
      <c r="D20" s="7" t="s">
        <v>43</v>
      </c>
      <c r="E20" s="7" t="s">
        <v>43</v>
      </c>
      <c r="F20" s="7" t="s">
        <v>42</v>
      </c>
      <c r="G20" s="7" t="s">
        <v>42</v>
      </c>
    </row>
    <row r="21" spans="1:8" x14ac:dyDescent="0.15">
      <c r="A21" t="s">
        <v>63</v>
      </c>
      <c r="B21" t="s">
        <v>185</v>
      </c>
      <c r="C21" s="7" t="s">
        <v>43</v>
      </c>
      <c r="D21" s="7" t="s">
        <v>43</v>
      </c>
      <c r="E21" s="7" t="s">
        <v>43</v>
      </c>
      <c r="F21" s="7" t="s">
        <v>42</v>
      </c>
      <c r="G21" s="7" t="s">
        <v>42</v>
      </c>
    </row>
    <row r="22" spans="1:8" x14ac:dyDescent="0.15">
      <c r="A22" t="s">
        <v>64</v>
      </c>
      <c r="B22" t="s">
        <v>185</v>
      </c>
      <c r="C22" s="7" t="s">
        <v>43</v>
      </c>
      <c r="D22" s="7" t="s">
        <v>43</v>
      </c>
      <c r="E22" s="7" t="s">
        <v>43</v>
      </c>
      <c r="F22" s="7" t="s">
        <v>43</v>
      </c>
      <c r="G22" s="7" t="s">
        <v>43</v>
      </c>
      <c r="H22" t="s">
        <v>65</v>
      </c>
    </row>
    <row r="23" spans="1:8" x14ac:dyDescent="0.15">
      <c r="A23" t="s">
        <v>66</v>
      </c>
      <c r="B23" t="s">
        <v>185</v>
      </c>
      <c r="C23" s="7" t="s">
        <v>43</v>
      </c>
      <c r="D23" s="7" t="s">
        <v>43</v>
      </c>
      <c r="E23" s="7" t="s">
        <v>43</v>
      </c>
      <c r="F23" s="7" t="s">
        <v>42</v>
      </c>
      <c r="G23" s="7" t="s">
        <v>42</v>
      </c>
    </row>
    <row r="24" spans="1:8" x14ac:dyDescent="0.15">
      <c r="A24" t="s">
        <v>67</v>
      </c>
      <c r="B24" t="s">
        <v>200</v>
      </c>
      <c r="C24" s="7" t="s">
        <v>43</v>
      </c>
      <c r="D24" s="7" t="s">
        <v>43</v>
      </c>
      <c r="E24" s="7" t="s">
        <v>43</v>
      </c>
      <c r="F24" s="7" t="s">
        <v>42</v>
      </c>
      <c r="G24" s="7" t="s">
        <v>42</v>
      </c>
    </row>
    <row r="25" spans="1:8" x14ac:dyDescent="0.15">
      <c r="A25" t="s">
        <v>68</v>
      </c>
      <c r="B25" t="s">
        <v>200</v>
      </c>
      <c r="C25" s="7" t="s">
        <v>43</v>
      </c>
      <c r="D25" s="7" t="s">
        <v>43</v>
      </c>
      <c r="E25" s="7" t="s">
        <v>43</v>
      </c>
      <c r="F25" s="7" t="s">
        <v>42</v>
      </c>
      <c r="G25" s="7" t="s">
        <v>42</v>
      </c>
    </row>
    <row r="26" spans="1:8" x14ac:dyDescent="0.15">
      <c r="A26" t="s">
        <v>69</v>
      </c>
      <c r="B26" t="s">
        <v>200</v>
      </c>
      <c r="C26" s="7" t="s">
        <v>43</v>
      </c>
      <c r="D26" s="7" t="s">
        <v>43</v>
      </c>
      <c r="E26" s="7" t="s">
        <v>43</v>
      </c>
      <c r="F26" s="7" t="s">
        <v>43</v>
      </c>
      <c r="G26" s="7" t="s">
        <v>43</v>
      </c>
      <c r="H26" t="s">
        <v>65</v>
      </c>
    </row>
    <row r="27" spans="1:8" x14ac:dyDescent="0.15">
      <c r="A27" t="s">
        <v>70</v>
      </c>
      <c r="B27" t="s">
        <v>200</v>
      </c>
      <c r="C27" s="7" t="s">
        <v>43</v>
      </c>
      <c r="D27" s="7" t="s">
        <v>43</v>
      </c>
      <c r="E27" s="7" t="s">
        <v>43</v>
      </c>
      <c r="F27" s="7" t="s">
        <v>42</v>
      </c>
      <c r="G27" s="7" t="s">
        <v>42</v>
      </c>
    </row>
    <row r="28" spans="1:8" x14ac:dyDescent="0.15">
      <c r="A28" t="s">
        <v>71</v>
      </c>
      <c r="B28" t="s">
        <v>201</v>
      </c>
      <c r="C28" s="7" t="s">
        <v>42</v>
      </c>
      <c r="D28" s="7" t="s">
        <v>43</v>
      </c>
      <c r="E28" s="7" t="s">
        <v>43</v>
      </c>
      <c r="F28" s="7" t="s">
        <v>42</v>
      </c>
      <c r="G28" s="7" t="s">
        <v>42</v>
      </c>
    </row>
    <row r="29" spans="1:8" x14ac:dyDescent="0.15">
      <c r="A29" t="s">
        <v>72</v>
      </c>
      <c r="B29" t="s">
        <v>201</v>
      </c>
      <c r="C29" s="7" t="s">
        <v>43</v>
      </c>
      <c r="D29" s="7" t="s">
        <v>43</v>
      </c>
      <c r="E29" s="7" t="s">
        <v>43</v>
      </c>
      <c r="F29" s="7" t="s">
        <v>42</v>
      </c>
      <c r="G29" s="7" t="s">
        <v>42</v>
      </c>
    </row>
    <row r="30" spans="1:8" x14ac:dyDescent="0.15">
      <c r="A30" t="s">
        <v>73</v>
      </c>
      <c r="B30" t="s">
        <v>201</v>
      </c>
      <c r="C30" s="7" t="s">
        <v>43</v>
      </c>
      <c r="D30" s="7" t="s">
        <v>43</v>
      </c>
      <c r="E30" s="7" t="s">
        <v>43</v>
      </c>
      <c r="F30" s="7" t="s">
        <v>43</v>
      </c>
      <c r="G30" s="7" t="s">
        <v>43</v>
      </c>
      <c r="H30" t="s">
        <v>65</v>
      </c>
    </row>
    <row r="31" spans="1:8" x14ac:dyDescent="0.15">
      <c r="A31" t="s">
        <v>74</v>
      </c>
      <c r="B31" t="s">
        <v>201</v>
      </c>
      <c r="C31" s="7" t="s">
        <v>43</v>
      </c>
      <c r="D31" s="7" t="s">
        <v>43</v>
      </c>
      <c r="E31" s="7" t="s">
        <v>43</v>
      </c>
      <c r="F31" s="7" t="s">
        <v>42</v>
      </c>
      <c r="G31" s="7" t="s">
        <v>42</v>
      </c>
    </row>
  </sheetData>
  <conditionalFormatting sqref="C1:G1048576 H17">
    <cfRule type="cellIs" dxfId="58" priority="2" operator="equal">
      <formula>"X"</formula>
    </cfRule>
    <cfRule type="cellIs" dxfId="57" priority="3" operator="equal">
      <formula>"O"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2" sqref="K2"/>
    </sheetView>
  </sheetViews>
  <sheetFormatPr baseColWidth="10" defaultColWidth="11.6640625" defaultRowHeight="13" x14ac:dyDescent="0.15"/>
  <cols>
    <col min="1" max="2" width="23.6640625" customWidth="1"/>
    <col min="3" max="3" width="41" customWidth="1"/>
    <col min="4" max="6" width="11.5" style="7" customWidth="1"/>
    <col min="7" max="9" width="11.5" style="1" customWidth="1"/>
    <col min="10" max="10" width="10.6640625" customWidth="1"/>
  </cols>
  <sheetData>
    <row r="1" spans="1:12" x14ac:dyDescent="0.15">
      <c r="A1" s="4" t="s">
        <v>75</v>
      </c>
      <c r="B1" s="4" t="s">
        <v>76</v>
      </c>
      <c r="C1" s="4" t="s">
        <v>77</v>
      </c>
      <c r="D1" s="3" t="s">
        <v>78</v>
      </c>
      <c r="E1" s="3" t="s">
        <v>79</v>
      </c>
      <c r="F1" s="3" t="s">
        <v>80</v>
      </c>
      <c r="G1" s="5" t="s">
        <v>2</v>
      </c>
      <c r="H1" s="5" t="s">
        <v>3</v>
      </c>
      <c r="I1" s="5" t="s">
        <v>4</v>
      </c>
      <c r="J1" s="4" t="s">
        <v>5</v>
      </c>
      <c r="K1" s="4" t="s">
        <v>6</v>
      </c>
      <c r="L1" s="4" t="s">
        <v>7</v>
      </c>
    </row>
    <row r="2" spans="1:12" x14ac:dyDescent="0.15">
      <c r="A2" t="s">
        <v>81</v>
      </c>
      <c r="D2" s="7" t="s">
        <v>82</v>
      </c>
      <c r="E2" s="7" t="s">
        <v>83</v>
      </c>
      <c r="G2" s="1">
        <v>44920</v>
      </c>
      <c r="H2" s="1">
        <v>44921</v>
      </c>
      <c r="J2">
        <f t="shared" ref="J2:J7" si="0">I2-H2</f>
        <v>-44921</v>
      </c>
      <c r="K2" t="str">
        <f>IF(ISBLANK(H2),"Open",(IF(ISBLANK($I2),"Processing","Done")))</f>
        <v>Processing</v>
      </c>
    </row>
    <row r="3" spans="1:12" x14ac:dyDescent="0.15">
      <c r="A3" s="9" t="s">
        <v>84</v>
      </c>
      <c r="B3" t="s">
        <v>85</v>
      </c>
      <c r="D3" s="7" t="s">
        <v>82</v>
      </c>
      <c r="E3" s="7" t="s">
        <v>83</v>
      </c>
      <c r="G3" s="1">
        <v>44920</v>
      </c>
      <c r="H3" s="1">
        <v>44920</v>
      </c>
      <c r="I3" s="1">
        <v>44920</v>
      </c>
      <c r="J3">
        <f t="shared" si="0"/>
        <v>0</v>
      </c>
      <c r="K3" t="s">
        <v>86</v>
      </c>
    </row>
    <row r="4" spans="1:12" x14ac:dyDescent="0.15">
      <c r="A4" s="9"/>
      <c r="B4" t="s">
        <v>87</v>
      </c>
      <c r="D4" s="7" t="s">
        <v>82</v>
      </c>
      <c r="E4" s="7" t="s">
        <v>83</v>
      </c>
      <c r="G4" s="1">
        <v>44940</v>
      </c>
      <c r="J4">
        <f t="shared" si="0"/>
        <v>0</v>
      </c>
      <c r="K4" t="s">
        <v>88</v>
      </c>
    </row>
    <row r="5" spans="1:12" x14ac:dyDescent="0.15">
      <c r="A5" s="9"/>
      <c r="B5" t="s">
        <v>89</v>
      </c>
      <c r="D5" s="7" t="s">
        <v>82</v>
      </c>
      <c r="E5" s="7" t="s">
        <v>83</v>
      </c>
      <c r="G5" s="1">
        <v>44920</v>
      </c>
      <c r="H5" s="1">
        <v>44920</v>
      </c>
      <c r="I5" s="1">
        <v>44920</v>
      </c>
      <c r="J5">
        <f t="shared" si="0"/>
        <v>0</v>
      </c>
      <c r="K5" t="str">
        <f>IF(ISBLANK(H5),"Open",(IF(ISBLANK($I5),"Processing","Done")))</f>
        <v>Done</v>
      </c>
    </row>
    <row r="6" spans="1:12" x14ac:dyDescent="0.15">
      <c r="A6" t="s">
        <v>90</v>
      </c>
      <c r="C6" t="s">
        <v>91</v>
      </c>
      <c r="D6" s="7" t="s">
        <v>82</v>
      </c>
      <c r="E6" s="7" t="s">
        <v>83</v>
      </c>
      <c r="G6" s="1">
        <v>44940</v>
      </c>
      <c r="H6" s="1">
        <v>44940</v>
      </c>
      <c r="I6" s="1">
        <v>44940</v>
      </c>
      <c r="J6">
        <f t="shared" si="0"/>
        <v>0</v>
      </c>
      <c r="K6" t="str">
        <f>IF(ISBLANK(H6),"Open",(IF(ISBLANK($I6),"Processing","Done")))</f>
        <v>Done</v>
      </c>
    </row>
    <row r="7" spans="1:12" x14ac:dyDescent="0.15">
      <c r="A7" s="9" t="s">
        <v>92</v>
      </c>
      <c r="C7" t="s">
        <v>93</v>
      </c>
      <c r="D7" s="7" t="s">
        <v>82</v>
      </c>
      <c r="E7" s="7" t="s">
        <v>83</v>
      </c>
      <c r="G7" s="1">
        <v>44940</v>
      </c>
      <c r="J7">
        <f t="shared" si="0"/>
        <v>0</v>
      </c>
      <c r="K7" t="str">
        <f>IF(ISBLANK(H7),"Open",(IF(ISBLANK($I7),"Processing","Done")))</f>
        <v>Open</v>
      </c>
    </row>
    <row r="8" spans="1:12" x14ac:dyDescent="0.15">
      <c r="A8" s="9"/>
      <c r="C8" t="s">
        <v>94</v>
      </c>
      <c r="D8" s="7" t="s">
        <v>82</v>
      </c>
      <c r="E8" s="7" t="s">
        <v>83</v>
      </c>
      <c r="G8" s="1">
        <v>44940</v>
      </c>
      <c r="H8"/>
      <c r="I8"/>
      <c r="J8">
        <f>I6-H6</f>
        <v>0</v>
      </c>
      <c r="K8" t="str">
        <f>IF(ISBLANK(H6),"Open",(IF(ISBLANK($I6),"Processing","Done")))</f>
        <v>Done</v>
      </c>
    </row>
    <row r="9" spans="1:12" x14ac:dyDescent="0.15">
      <c r="A9" t="s">
        <v>95</v>
      </c>
      <c r="C9" t="s">
        <v>96</v>
      </c>
      <c r="D9" s="7" t="s">
        <v>97</v>
      </c>
      <c r="E9" s="7" t="s">
        <v>83</v>
      </c>
      <c r="G9" s="1">
        <v>44940</v>
      </c>
      <c r="H9" s="1">
        <v>44958</v>
      </c>
      <c r="K9" t="str">
        <f>IF(ISBLANK(H7),"Open",(IF(ISBLANK($I7),"Processing","Done")))</f>
        <v>Open</v>
      </c>
    </row>
    <row r="10" spans="1:12" x14ac:dyDescent="0.15">
      <c r="A10" t="s">
        <v>98</v>
      </c>
      <c r="C10" t="s">
        <v>99</v>
      </c>
      <c r="D10" s="7" t="s">
        <v>82</v>
      </c>
      <c r="E10" s="7" t="s">
        <v>83</v>
      </c>
      <c r="G10" s="1">
        <v>44983</v>
      </c>
      <c r="K10" t="str">
        <f>IF(ISBLANK(H8),"Open",(IF(ISBLANK($I8),"Processing","Done")))</f>
        <v>Open</v>
      </c>
    </row>
    <row r="11" spans="1:12" x14ac:dyDescent="0.15">
      <c r="A11" t="s">
        <v>100</v>
      </c>
      <c r="C11" t="s">
        <v>101</v>
      </c>
      <c r="D11" s="7" t="s">
        <v>82</v>
      </c>
      <c r="E11" s="7" t="s">
        <v>83</v>
      </c>
      <c r="G11" s="1">
        <v>44983</v>
      </c>
      <c r="K11" t="str">
        <f>IF(ISBLANK(H9),"Open",(IF(ISBLANK($I9),"Processing","Done")))</f>
        <v>Processing</v>
      </c>
    </row>
  </sheetData>
  <mergeCells count="2">
    <mergeCell ref="A3:A5"/>
    <mergeCell ref="A7:A8"/>
  </mergeCells>
  <conditionalFormatting sqref="A1:B1048576">
    <cfRule type="expression" dxfId="56" priority="10">
      <formula>$K1="Open"</formula>
    </cfRule>
    <cfRule type="expression" dxfId="55" priority="11">
      <formula>$K1="Done"</formula>
    </cfRule>
  </conditionalFormatting>
  <conditionalFormatting sqref="D1:D1048576 E1:E9 E12:E1048576">
    <cfRule type="colorScale" priority="2">
      <colorScale>
        <cfvo type="min"/>
        <cfvo type="percentile" val="50"/>
        <cfvo type="max"/>
        <color rgb="FFFF0000"/>
        <color rgb="FFFFFF00"/>
        <color rgb="FF00A933"/>
      </colorScale>
    </cfRule>
  </conditionalFormatting>
  <conditionalFormatting sqref="D1:E1048576">
    <cfRule type="cellIs" dxfId="54" priority="4" operator="equal">
      <formula>"A"</formula>
    </cfRule>
    <cfRule type="cellIs" dxfId="53" priority="5" operator="equal">
      <formula>"BUG"</formula>
    </cfRule>
    <cfRule type="cellIs" dxfId="52" priority="6" operator="equal">
      <formula>"B"</formula>
    </cfRule>
  </conditionalFormatting>
  <conditionalFormatting sqref="E1:E9 D1:D1048576 E12:E1048576">
    <cfRule type="cellIs" dxfId="51" priority="3" operator="equal">
      <formula>"TODO"</formula>
    </cfRule>
  </conditionalFormatting>
  <conditionalFormatting sqref="E10">
    <cfRule type="colorScale" priority="12">
      <colorScale>
        <cfvo type="min"/>
        <cfvo type="percentile" val="50"/>
        <cfvo type="max"/>
        <color rgb="FFFF0000"/>
        <color rgb="FFFFFF00"/>
        <color rgb="FF00A933"/>
      </colorScale>
    </cfRule>
    <cfRule type="cellIs" dxfId="50" priority="13" operator="equal">
      <formula>"TODO"</formula>
    </cfRule>
  </conditionalFormatting>
  <conditionalFormatting sqref="E11">
    <cfRule type="colorScale" priority="14">
      <colorScale>
        <cfvo type="min"/>
        <cfvo type="percentile" val="50"/>
        <cfvo type="max"/>
        <color rgb="FFFF0000"/>
        <color rgb="FFFFFF00"/>
        <color rgb="FF00A933"/>
      </colorScale>
    </cfRule>
    <cfRule type="cellIs" dxfId="49" priority="15" operator="equal">
      <formula>"TODO"</formula>
    </cfRule>
  </conditionalFormatting>
  <conditionalFormatting sqref="K1:K1048576">
    <cfRule type="cellIs" dxfId="48" priority="7" operator="equal">
      <formula>"Done"</formula>
    </cfRule>
    <cfRule type="cellIs" dxfId="47" priority="8" operator="equal">
      <formula>"Processing"</formula>
    </cfRule>
    <cfRule type="cellIs" dxfId="46" priority="9" operator="equal">
      <formula>"Open"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zoomScale="130" zoomScaleNormal="130" workbookViewId="0">
      <selection activeCell="F19" sqref="F19"/>
    </sheetView>
  </sheetViews>
  <sheetFormatPr baseColWidth="10" defaultColWidth="11.83203125" defaultRowHeight="13" x14ac:dyDescent="0.15"/>
  <sheetData>
    <row r="1" spans="1:8" x14ac:dyDescent="0.15">
      <c r="A1" s="4" t="s">
        <v>102</v>
      </c>
      <c r="D1" s="4" t="s">
        <v>103</v>
      </c>
      <c r="G1" s="4" t="s">
        <v>104</v>
      </c>
    </row>
    <row r="2" spans="1:8" x14ac:dyDescent="0.15">
      <c r="A2" t="s">
        <v>105</v>
      </c>
      <c r="B2" t="s">
        <v>106</v>
      </c>
      <c r="D2" t="s">
        <v>105</v>
      </c>
      <c r="E2" t="s">
        <v>106</v>
      </c>
      <c r="G2" t="s">
        <v>105</v>
      </c>
      <c r="H2" t="s">
        <v>106</v>
      </c>
    </row>
    <row r="3" spans="1:8" x14ac:dyDescent="0.15">
      <c r="A3" t="s">
        <v>107</v>
      </c>
      <c r="B3" t="s">
        <v>106</v>
      </c>
      <c r="D3" t="s">
        <v>107</v>
      </c>
      <c r="E3" t="s">
        <v>106</v>
      </c>
      <c r="G3" t="s">
        <v>107</v>
      </c>
      <c r="H3" t="s">
        <v>108</v>
      </c>
    </row>
    <row r="5" spans="1:8" x14ac:dyDescent="0.15">
      <c r="A5" t="s">
        <v>109</v>
      </c>
      <c r="B5" t="s">
        <v>106</v>
      </c>
      <c r="D5" t="s">
        <v>109</v>
      </c>
      <c r="E5" t="s">
        <v>106</v>
      </c>
      <c r="G5" t="s">
        <v>109</v>
      </c>
      <c r="H5" t="s">
        <v>106</v>
      </c>
    </row>
    <row r="6" spans="1:8" x14ac:dyDescent="0.15">
      <c r="A6" t="s">
        <v>107</v>
      </c>
      <c r="B6" t="s">
        <v>106</v>
      </c>
      <c r="D6" t="s">
        <v>107</v>
      </c>
      <c r="E6" t="s">
        <v>106</v>
      </c>
      <c r="G6" t="s">
        <v>107</v>
      </c>
      <c r="H6" t="s">
        <v>108</v>
      </c>
    </row>
    <row r="8" spans="1:8" x14ac:dyDescent="0.15">
      <c r="A8" t="s">
        <v>110</v>
      </c>
      <c r="B8" t="s">
        <v>111</v>
      </c>
      <c r="D8" t="s">
        <v>110</v>
      </c>
      <c r="E8" t="s">
        <v>112</v>
      </c>
      <c r="G8" t="s">
        <v>110</v>
      </c>
      <c r="H8" t="s">
        <v>113</v>
      </c>
    </row>
    <row r="9" spans="1:8" x14ac:dyDescent="0.15">
      <c r="E9" t="s">
        <v>114</v>
      </c>
      <c r="H9" t="s">
        <v>112</v>
      </c>
    </row>
    <row r="10" spans="1:8" x14ac:dyDescent="0.15">
      <c r="H10" t="s">
        <v>114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zoomScale="130" zoomScaleNormal="130" workbookViewId="0">
      <selection activeCell="C28" sqref="C28"/>
    </sheetView>
  </sheetViews>
  <sheetFormatPr baseColWidth="10" defaultColWidth="11.6640625" defaultRowHeight="13" x14ac:dyDescent="0.15"/>
  <cols>
    <col min="1" max="1" width="33" customWidth="1"/>
    <col min="2" max="3" width="36.5" customWidth="1"/>
    <col min="4" max="6" width="11.5" style="7" customWidth="1"/>
    <col min="7" max="9" width="11.5" style="1" customWidth="1"/>
  </cols>
  <sheetData>
    <row r="1" spans="1:12" x14ac:dyDescent="0.15">
      <c r="A1" s="4" t="s">
        <v>75</v>
      </c>
      <c r="B1" s="4" t="s">
        <v>76</v>
      </c>
      <c r="C1" s="4" t="s">
        <v>115</v>
      </c>
      <c r="D1" s="3" t="s">
        <v>78</v>
      </c>
      <c r="E1" s="3" t="s">
        <v>79</v>
      </c>
      <c r="F1" s="3" t="s">
        <v>116</v>
      </c>
      <c r="G1" s="5" t="s">
        <v>2</v>
      </c>
      <c r="H1" s="5" t="s">
        <v>3</v>
      </c>
      <c r="I1" s="5" t="s">
        <v>4</v>
      </c>
      <c r="J1" s="4" t="s">
        <v>5</v>
      </c>
      <c r="K1" s="4" t="s">
        <v>6</v>
      </c>
      <c r="L1" s="4" t="s">
        <v>7</v>
      </c>
    </row>
    <row r="2" spans="1:12" x14ac:dyDescent="0.15">
      <c r="A2" t="s">
        <v>117</v>
      </c>
      <c r="B2" t="s">
        <v>118</v>
      </c>
      <c r="D2" s="7" t="s">
        <v>97</v>
      </c>
      <c r="F2" s="7">
        <v>1</v>
      </c>
      <c r="G2" s="1">
        <v>44920</v>
      </c>
      <c r="K2" t="str">
        <f>IF(ISBLANK(H3),"Open",(IF(ISBLANK($I3),"Processing","Done")))</f>
        <v>Open</v>
      </c>
    </row>
    <row r="3" spans="1:12" x14ac:dyDescent="0.15">
      <c r="A3" t="s">
        <v>119</v>
      </c>
      <c r="B3" t="s">
        <v>120</v>
      </c>
    </row>
    <row r="4" spans="1:12" x14ac:dyDescent="0.15">
      <c r="B4" t="s">
        <v>121</v>
      </c>
    </row>
    <row r="5" spans="1:12" x14ac:dyDescent="0.15">
      <c r="B5" t="s">
        <v>122</v>
      </c>
    </row>
  </sheetData>
  <conditionalFormatting sqref="A2:B1048576">
    <cfRule type="expression" dxfId="45" priority="18">
      <formula>$K3="Open"</formula>
    </cfRule>
  </conditionalFormatting>
  <conditionalFormatting sqref="D1:D1048576 E1 E6:E1048576">
    <cfRule type="colorScale" priority="5">
      <colorScale>
        <cfvo type="min"/>
        <cfvo type="percentile" val="50"/>
        <cfvo type="max"/>
        <color rgb="FFFF0000"/>
        <color rgb="FFFFFF00"/>
        <color rgb="FF00A933"/>
      </colorScale>
    </cfRule>
  </conditionalFormatting>
  <conditionalFormatting sqref="D1:E1048576">
    <cfRule type="cellIs" dxfId="44" priority="7" operator="equal">
      <formula>"A"</formula>
    </cfRule>
    <cfRule type="cellIs" dxfId="43" priority="8" operator="equal">
      <formula>"BUG"</formula>
    </cfRule>
    <cfRule type="cellIs" dxfId="42" priority="9" operator="equal">
      <formula>"B"</formula>
    </cfRule>
  </conditionalFormatting>
  <conditionalFormatting sqref="E1 D1:D1048576 E6:E1048576">
    <cfRule type="cellIs" dxfId="41" priority="6" operator="equal">
      <formula>"TODO"</formula>
    </cfRule>
  </conditionalFormatting>
  <conditionalFormatting sqref="E2">
    <cfRule type="colorScale" priority="14">
      <colorScale>
        <cfvo type="min"/>
        <cfvo type="percentile" val="50"/>
        <cfvo type="max"/>
        <color rgb="FFFF0000"/>
        <color rgb="FFFFFF00"/>
        <color rgb="FF00A933"/>
      </colorScale>
    </cfRule>
    <cfRule type="cellIs" dxfId="40" priority="15" operator="equal">
      <formula>"TODO"</formula>
    </cfRule>
  </conditionalFormatting>
  <conditionalFormatting sqref="E3">
    <cfRule type="colorScale" priority="12">
      <colorScale>
        <cfvo type="min"/>
        <cfvo type="percentile" val="50"/>
        <cfvo type="max"/>
        <color rgb="FFFF0000"/>
        <color rgb="FFFFFF00"/>
        <color rgb="FF00A933"/>
      </colorScale>
    </cfRule>
    <cfRule type="cellIs" dxfId="39" priority="13" operator="equal">
      <formula>"TODO"</formula>
    </cfRule>
  </conditionalFormatting>
  <conditionalFormatting sqref="E4">
    <cfRule type="colorScale" priority="16">
      <colorScale>
        <cfvo type="min"/>
        <cfvo type="percentile" val="50"/>
        <cfvo type="max"/>
        <color rgb="FFFF0000"/>
        <color rgb="FFFFFF00"/>
        <color rgb="FF00A933"/>
      </colorScale>
    </cfRule>
    <cfRule type="cellIs" dxfId="38" priority="17" operator="equal">
      <formula>"TODO"</formula>
    </cfRule>
  </conditionalFormatting>
  <conditionalFormatting sqref="E5">
    <cfRule type="colorScale" priority="10">
      <colorScale>
        <cfvo type="min"/>
        <cfvo type="percentile" val="50"/>
        <cfvo type="max"/>
        <color rgb="FFFF0000"/>
        <color rgb="FFFFFF00"/>
        <color rgb="FF00A933"/>
      </colorScale>
    </cfRule>
    <cfRule type="cellIs" dxfId="37" priority="11" operator="equal">
      <formula>"TODO"</formula>
    </cfRule>
  </conditionalFormatting>
  <conditionalFormatting sqref="K1:K1048576">
    <cfRule type="cellIs" dxfId="36" priority="2" operator="equal">
      <formula>"Done"</formula>
    </cfRule>
    <cfRule type="cellIs" dxfId="35" priority="3" operator="equal">
      <formula>"Processing"</formula>
    </cfRule>
    <cfRule type="cellIs" dxfId="34" priority="4" operator="equal">
      <formula>"Open"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"/>
  <sheetViews>
    <sheetView zoomScale="130" zoomScaleNormal="130" workbookViewId="0">
      <selection activeCell="A9" sqref="A9"/>
    </sheetView>
  </sheetViews>
  <sheetFormatPr baseColWidth="10" defaultColWidth="11.6640625" defaultRowHeight="13" x14ac:dyDescent="0.15"/>
  <cols>
    <col min="1" max="1" width="33" customWidth="1"/>
    <col min="2" max="2" width="31.5" customWidth="1"/>
    <col min="3" max="3" width="36.5" customWidth="1"/>
    <col min="4" max="6" width="11.5" style="7" customWidth="1"/>
    <col min="7" max="9" width="11.5" style="1" customWidth="1"/>
  </cols>
  <sheetData>
    <row r="1" spans="1:12" x14ac:dyDescent="0.15">
      <c r="A1" s="4" t="s">
        <v>75</v>
      </c>
      <c r="B1" s="4" t="s">
        <v>76</v>
      </c>
      <c r="C1" s="4" t="s">
        <v>115</v>
      </c>
      <c r="D1" s="3" t="s">
        <v>78</v>
      </c>
      <c r="E1" s="3" t="s">
        <v>79</v>
      </c>
      <c r="F1" s="3" t="s">
        <v>116</v>
      </c>
      <c r="G1" s="5" t="s">
        <v>2</v>
      </c>
      <c r="H1" s="5" t="s">
        <v>3</v>
      </c>
      <c r="I1" s="5" t="s">
        <v>4</v>
      </c>
      <c r="J1" s="4" t="s">
        <v>5</v>
      </c>
      <c r="K1" s="4" t="s">
        <v>6</v>
      </c>
      <c r="L1" s="4" t="s">
        <v>7</v>
      </c>
    </row>
    <row r="2" spans="1:12" x14ac:dyDescent="0.15">
      <c r="A2" t="s">
        <v>123</v>
      </c>
      <c r="B2" t="s">
        <v>124</v>
      </c>
      <c r="D2" s="7" t="s">
        <v>97</v>
      </c>
      <c r="F2" s="7">
        <v>1</v>
      </c>
      <c r="G2" s="1">
        <v>44920</v>
      </c>
      <c r="H2" s="1">
        <v>44941</v>
      </c>
      <c r="I2" s="1">
        <v>44972</v>
      </c>
      <c r="K2" t="str">
        <f t="shared" ref="K2:K11" si="0">IF(ISBLANK(G2),"Open",(IF(ISBLANK($H2),"Processing","Done")))</f>
        <v>Done</v>
      </c>
    </row>
    <row r="3" spans="1:12" x14ac:dyDescent="0.15">
      <c r="A3" t="s">
        <v>125</v>
      </c>
      <c r="B3" t="s">
        <v>124</v>
      </c>
      <c r="C3" t="s">
        <v>126</v>
      </c>
      <c r="D3" s="7" t="s">
        <v>97</v>
      </c>
      <c r="F3" s="7">
        <v>1</v>
      </c>
      <c r="G3" s="1">
        <v>44920</v>
      </c>
      <c r="K3" t="str">
        <f t="shared" si="0"/>
        <v>Processing</v>
      </c>
    </row>
    <row r="4" spans="1:12" x14ac:dyDescent="0.15">
      <c r="A4" t="s">
        <v>127</v>
      </c>
      <c r="B4" t="s">
        <v>124</v>
      </c>
      <c r="C4" t="s">
        <v>128</v>
      </c>
      <c r="D4" s="7" t="s">
        <v>97</v>
      </c>
      <c r="F4" s="7">
        <v>1</v>
      </c>
      <c r="G4" s="1">
        <v>44920</v>
      </c>
      <c r="H4" s="1">
        <v>45031</v>
      </c>
      <c r="I4" s="1">
        <v>45046</v>
      </c>
      <c r="K4" t="str">
        <f t="shared" si="0"/>
        <v>Done</v>
      </c>
    </row>
    <row r="5" spans="1:12" x14ac:dyDescent="0.15">
      <c r="A5" t="s">
        <v>129</v>
      </c>
      <c r="C5" t="s">
        <v>128</v>
      </c>
      <c r="D5" s="7" t="s">
        <v>97</v>
      </c>
      <c r="F5" s="7">
        <v>1</v>
      </c>
      <c r="G5" s="1">
        <v>44920</v>
      </c>
      <c r="K5" t="str">
        <f t="shared" si="0"/>
        <v>Processing</v>
      </c>
    </row>
    <row r="6" spans="1:12" x14ac:dyDescent="0.15">
      <c r="A6" t="s">
        <v>130</v>
      </c>
      <c r="D6" s="7" t="s">
        <v>97</v>
      </c>
      <c r="F6" s="7">
        <v>1</v>
      </c>
      <c r="G6" s="1">
        <v>44920</v>
      </c>
      <c r="H6" s="1">
        <v>44977</v>
      </c>
      <c r="I6" s="1">
        <v>44985</v>
      </c>
      <c r="K6" t="str">
        <f t="shared" si="0"/>
        <v>Done</v>
      </c>
    </row>
    <row r="7" spans="1:12" x14ac:dyDescent="0.15">
      <c r="A7" t="s">
        <v>131</v>
      </c>
      <c r="C7" t="s">
        <v>132</v>
      </c>
      <c r="D7" s="7" t="s">
        <v>97</v>
      </c>
      <c r="F7" s="7">
        <v>1</v>
      </c>
      <c r="G7" s="1">
        <v>44920</v>
      </c>
      <c r="H7" s="1">
        <v>44982</v>
      </c>
      <c r="I7" s="1">
        <v>44990</v>
      </c>
      <c r="K7" t="str">
        <f t="shared" si="0"/>
        <v>Done</v>
      </c>
    </row>
    <row r="8" spans="1:12" x14ac:dyDescent="0.15">
      <c r="A8" t="s">
        <v>133</v>
      </c>
      <c r="D8" s="7" t="s">
        <v>97</v>
      </c>
      <c r="F8" s="7">
        <v>1</v>
      </c>
      <c r="G8" s="1">
        <v>44920</v>
      </c>
      <c r="H8" s="1">
        <v>44927</v>
      </c>
      <c r="I8" s="1">
        <v>44946</v>
      </c>
      <c r="K8" t="str">
        <f t="shared" si="0"/>
        <v>Done</v>
      </c>
    </row>
    <row r="9" spans="1:12" x14ac:dyDescent="0.15">
      <c r="A9" t="s">
        <v>134</v>
      </c>
      <c r="D9" s="7" t="s">
        <v>135</v>
      </c>
      <c r="G9" s="1">
        <v>44920</v>
      </c>
      <c r="K9" t="str">
        <f t="shared" si="0"/>
        <v>Processing</v>
      </c>
    </row>
    <row r="10" spans="1:12" x14ac:dyDescent="0.15">
      <c r="A10" t="s">
        <v>136</v>
      </c>
      <c r="D10" s="7" t="s">
        <v>135</v>
      </c>
      <c r="G10" s="1">
        <v>44920</v>
      </c>
      <c r="K10" t="str">
        <f t="shared" si="0"/>
        <v>Processing</v>
      </c>
    </row>
    <row r="11" spans="1:12" x14ac:dyDescent="0.15">
      <c r="A11" t="s">
        <v>137</v>
      </c>
      <c r="B11" t="s">
        <v>138</v>
      </c>
      <c r="D11" s="7" t="s">
        <v>97</v>
      </c>
      <c r="F11" s="7">
        <v>1</v>
      </c>
      <c r="G11" s="1">
        <v>44920</v>
      </c>
      <c r="H11" s="1">
        <v>44995</v>
      </c>
      <c r="I11" s="1">
        <v>45000</v>
      </c>
      <c r="K11" t="str">
        <f t="shared" si="0"/>
        <v>Done</v>
      </c>
    </row>
  </sheetData>
  <conditionalFormatting sqref="B1:B3 A1:A1048576 C6 B6:B1048576">
    <cfRule type="expression" dxfId="33" priority="16">
      <formula>$K1="Open"</formula>
    </cfRule>
  </conditionalFormatting>
  <conditionalFormatting sqref="D5">
    <cfRule type="colorScale" priority="21">
      <colorScale>
        <cfvo type="min"/>
        <cfvo type="percentile" val="50"/>
        <cfvo type="max"/>
        <color rgb="FFFF0000"/>
        <color rgb="FFFFFF00"/>
        <color rgb="FF00A933"/>
      </colorScale>
    </cfRule>
    <cfRule type="cellIs" dxfId="32" priority="22" operator="equal">
      <formula>"TODO"</formula>
    </cfRule>
  </conditionalFormatting>
  <conditionalFormatting sqref="D6">
    <cfRule type="colorScale" priority="17">
      <colorScale>
        <cfvo type="min"/>
        <cfvo type="percentile" val="50"/>
        <cfvo type="max"/>
        <color rgb="FFFF0000"/>
        <color rgb="FFFFFF00"/>
        <color rgb="FF00A933"/>
      </colorScale>
    </cfRule>
    <cfRule type="cellIs" dxfId="31" priority="18" operator="equal">
      <formula>"TODO"</formula>
    </cfRule>
  </conditionalFormatting>
  <conditionalFormatting sqref="D1:E1048576">
    <cfRule type="cellIs" dxfId="30" priority="7" operator="equal">
      <formula>"A"</formula>
    </cfRule>
    <cfRule type="cellIs" dxfId="29" priority="8" operator="equal">
      <formula>"BUG"</formula>
    </cfRule>
    <cfRule type="cellIs" dxfId="28" priority="9" operator="equal">
      <formula>"B"</formula>
    </cfRule>
  </conditionalFormatting>
  <conditionalFormatting sqref="D7:E1048576 E1 D1:D4">
    <cfRule type="colorScale" priority="5">
      <colorScale>
        <cfvo type="min"/>
        <cfvo type="percentile" val="50"/>
        <cfvo type="max"/>
        <color rgb="FFFF0000"/>
        <color rgb="FFFFFF00"/>
        <color rgb="FF00A933"/>
      </colorScale>
    </cfRule>
  </conditionalFormatting>
  <conditionalFormatting sqref="E1 D1:D4 D7:E1048576">
    <cfRule type="cellIs" dxfId="27" priority="6" operator="equal">
      <formula>"TODO"</formula>
    </cfRule>
  </conditionalFormatting>
  <conditionalFormatting sqref="E2">
    <cfRule type="colorScale" priority="12">
      <colorScale>
        <cfvo type="min"/>
        <cfvo type="percentile" val="50"/>
        <cfvo type="max"/>
        <color rgb="FFFF0000"/>
        <color rgb="FFFFFF00"/>
        <color rgb="FF00A933"/>
      </colorScale>
    </cfRule>
    <cfRule type="cellIs" dxfId="26" priority="13" operator="equal">
      <formula>"TODO"</formula>
    </cfRule>
  </conditionalFormatting>
  <conditionalFormatting sqref="E3">
    <cfRule type="colorScale" priority="10">
      <colorScale>
        <cfvo type="min"/>
        <cfvo type="percentile" val="50"/>
        <cfvo type="max"/>
        <color rgb="FFFF0000"/>
        <color rgb="FFFFFF00"/>
        <color rgb="FF00A933"/>
      </colorScale>
    </cfRule>
    <cfRule type="cellIs" dxfId="25" priority="11" operator="equal">
      <formula>"TODO"</formula>
    </cfRule>
  </conditionalFormatting>
  <conditionalFormatting sqref="E4">
    <cfRule type="colorScale" priority="14">
      <colorScale>
        <cfvo type="min"/>
        <cfvo type="percentile" val="50"/>
        <cfvo type="max"/>
        <color rgb="FFFF0000"/>
        <color rgb="FFFFFF00"/>
        <color rgb="FF00A933"/>
      </colorScale>
    </cfRule>
    <cfRule type="cellIs" dxfId="24" priority="15" operator="equal">
      <formula>"TODO"</formula>
    </cfRule>
  </conditionalFormatting>
  <conditionalFormatting sqref="E5">
    <cfRule type="colorScale" priority="23">
      <colorScale>
        <cfvo type="min"/>
        <cfvo type="percentile" val="50"/>
        <cfvo type="max"/>
        <color rgb="FFFF0000"/>
        <color rgb="FFFFFF00"/>
        <color rgb="FF00A933"/>
      </colorScale>
    </cfRule>
    <cfRule type="cellIs" dxfId="23" priority="24" operator="equal">
      <formula>"TODO"</formula>
    </cfRule>
  </conditionalFormatting>
  <conditionalFormatting sqref="E6">
    <cfRule type="colorScale" priority="19">
      <colorScale>
        <cfvo type="min"/>
        <cfvo type="percentile" val="50"/>
        <cfvo type="max"/>
        <color rgb="FFFF0000"/>
        <color rgb="FFFFFF00"/>
        <color rgb="FF00A933"/>
      </colorScale>
    </cfRule>
    <cfRule type="cellIs" dxfId="22" priority="20" operator="equal">
      <formula>"TODO"</formula>
    </cfRule>
  </conditionalFormatting>
  <conditionalFormatting sqref="K1:K1048576">
    <cfRule type="cellIs" dxfId="21" priority="2" operator="equal">
      <formula>"Done"</formula>
    </cfRule>
    <cfRule type="cellIs" dxfId="20" priority="3" operator="equal">
      <formula>"Processing"</formula>
    </cfRule>
    <cfRule type="cellIs" dxfId="19" priority="4" operator="equal">
      <formula>"Open"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"/>
  <sheetViews>
    <sheetView zoomScale="130" zoomScaleNormal="130" workbookViewId="0">
      <selection activeCell="B31" sqref="B31"/>
    </sheetView>
  </sheetViews>
  <sheetFormatPr baseColWidth="10" defaultColWidth="11.6640625" defaultRowHeight="13" x14ac:dyDescent="0.15"/>
  <cols>
    <col min="1" max="1" width="33" customWidth="1"/>
    <col min="2" max="2" width="36.6640625" customWidth="1"/>
    <col min="3" max="5" width="11.5" style="7" customWidth="1"/>
    <col min="6" max="8" width="11.5" style="1" customWidth="1"/>
  </cols>
  <sheetData>
    <row r="1" spans="1:11" x14ac:dyDescent="0.15">
      <c r="A1" s="4" t="s">
        <v>75</v>
      </c>
      <c r="B1" s="4" t="s">
        <v>115</v>
      </c>
      <c r="C1" s="3" t="s">
        <v>78</v>
      </c>
      <c r="D1" s="3" t="s">
        <v>79</v>
      </c>
      <c r="E1" s="3" t="s">
        <v>116</v>
      </c>
      <c r="F1" s="5" t="s">
        <v>2</v>
      </c>
      <c r="G1" s="5" t="s">
        <v>3</v>
      </c>
      <c r="H1" s="5" t="s">
        <v>4</v>
      </c>
      <c r="I1" s="4" t="s">
        <v>139</v>
      </c>
      <c r="J1" s="4" t="s">
        <v>6</v>
      </c>
      <c r="K1" s="4" t="s">
        <v>7</v>
      </c>
    </row>
    <row r="2" spans="1:11" x14ac:dyDescent="0.15">
      <c r="A2" t="s">
        <v>41</v>
      </c>
      <c r="C2" s="7" t="s">
        <v>82</v>
      </c>
      <c r="F2" s="1">
        <v>44835</v>
      </c>
      <c r="G2" s="1">
        <v>44986</v>
      </c>
      <c r="H2" s="1">
        <v>45000</v>
      </c>
      <c r="J2" t="str">
        <f t="shared" ref="J2:J15" si="0">IF(ISBLANK(G2),"Open",(IF(ISBLANK($H2),"Processing","Done")))</f>
        <v>Done</v>
      </c>
    </row>
    <row r="3" spans="1:11" x14ac:dyDescent="0.15">
      <c r="A3" t="s">
        <v>140</v>
      </c>
      <c r="C3" s="7" t="s">
        <v>97</v>
      </c>
      <c r="D3" s="7" t="s">
        <v>141</v>
      </c>
      <c r="F3" s="1">
        <v>44835</v>
      </c>
      <c r="G3" s="1">
        <v>44835</v>
      </c>
      <c r="H3" s="1">
        <v>44906</v>
      </c>
      <c r="I3">
        <f>H3-G3</f>
        <v>71</v>
      </c>
      <c r="J3" t="str">
        <f t="shared" si="0"/>
        <v>Done</v>
      </c>
    </row>
    <row r="4" spans="1:11" x14ac:dyDescent="0.15">
      <c r="A4" t="s">
        <v>142</v>
      </c>
      <c r="C4" s="7" t="s">
        <v>97</v>
      </c>
      <c r="D4" s="7" t="s">
        <v>141</v>
      </c>
      <c r="F4" s="1">
        <v>44835</v>
      </c>
      <c r="G4" s="1">
        <v>44835</v>
      </c>
      <c r="H4" s="1">
        <v>44906</v>
      </c>
      <c r="J4" t="str">
        <f t="shared" si="0"/>
        <v>Done</v>
      </c>
    </row>
    <row r="5" spans="1:11" x14ac:dyDescent="0.15">
      <c r="A5" t="s">
        <v>143</v>
      </c>
      <c r="C5" s="7" t="s">
        <v>97</v>
      </c>
      <c r="D5" s="7" t="s">
        <v>141</v>
      </c>
      <c r="F5" s="1">
        <v>44835</v>
      </c>
      <c r="G5" s="1">
        <v>44835</v>
      </c>
      <c r="H5" s="1">
        <v>44906</v>
      </c>
      <c r="J5" t="str">
        <f t="shared" si="0"/>
        <v>Done</v>
      </c>
    </row>
    <row r="6" spans="1:11" x14ac:dyDescent="0.15">
      <c r="A6" t="s">
        <v>144</v>
      </c>
      <c r="C6" s="7" t="s">
        <v>97</v>
      </c>
      <c r="F6" s="1">
        <v>44835</v>
      </c>
      <c r="J6" t="str">
        <f t="shared" si="0"/>
        <v>Open</v>
      </c>
    </row>
    <row r="7" spans="1:11" x14ac:dyDescent="0.15">
      <c r="A7" t="s">
        <v>145</v>
      </c>
      <c r="C7" s="7" t="s">
        <v>97</v>
      </c>
      <c r="F7" s="1">
        <v>44835</v>
      </c>
      <c r="J7" t="str">
        <f t="shared" si="0"/>
        <v>Open</v>
      </c>
    </row>
    <row r="8" spans="1:11" x14ac:dyDescent="0.15">
      <c r="A8" t="s">
        <v>52</v>
      </c>
      <c r="C8" s="7" t="s">
        <v>97</v>
      </c>
      <c r="F8" s="1">
        <v>44835</v>
      </c>
      <c r="G8" s="1">
        <v>45031</v>
      </c>
      <c r="H8" s="1">
        <v>45046</v>
      </c>
      <c r="J8" t="str">
        <f t="shared" si="0"/>
        <v>Done</v>
      </c>
    </row>
    <row r="9" spans="1:11" x14ac:dyDescent="0.15">
      <c r="A9" t="s">
        <v>53</v>
      </c>
      <c r="C9" s="7" t="s">
        <v>97</v>
      </c>
      <c r="F9" s="1">
        <v>44835</v>
      </c>
      <c r="J9" t="str">
        <f t="shared" si="0"/>
        <v>Open</v>
      </c>
    </row>
    <row r="10" spans="1:11" x14ac:dyDescent="0.15">
      <c r="A10" t="s">
        <v>146</v>
      </c>
      <c r="C10" s="7" t="s">
        <v>135</v>
      </c>
      <c r="F10" s="1">
        <v>44835</v>
      </c>
      <c r="J10" t="str">
        <f t="shared" si="0"/>
        <v>Open</v>
      </c>
      <c r="K10" t="s">
        <v>147</v>
      </c>
    </row>
    <row r="11" spans="1:11" x14ac:dyDescent="0.15">
      <c r="A11" t="s">
        <v>54</v>
      </c>
      <c r="C11" s="7" t="s">
        <v>82</v>
      </c>
      <c r="F11" s="1">
        <v>44835</v>
      </c>
      <c r="J11" t="str">
        <f t="shared" si="0"/>
        <v>Open</v>
      </c>
    </row>
    <row r="12" spans="1:11" x14ac:dyDescent="0.15">
      <c r="A12" t="s">
        <v>148</v>
      </c>
      <c r="C12" s="7" t="s">
        <v>97</v>
      </c>
      <c r="F12" s="1">
        <v>44983</v>
      </c>
      <c r="J12" t="str">
        <f t="shared" si="0"/>
        <v>Open</v>
      </c>
    </row>
    <row r="13" spans="1:11" x14ac:dyDescent="0.15">
      <c r="A13" t="s">
        <v>149</v>
      </c>
      <c r="C13" s="7" t="s">
        <v>135</v>
      </c>
      <c r="F13" s="1">
        <v>44983</v>
      </c>
      <c r="J13" t="str">
        <f t="shared" si="0"/>
        <v>Open</v>
      </c>
      <c r="K13" t="s">
        <v>147</v>
      </c>
    </row>
    <row r="14" spans="1:11" x14ac:dyDescent="0.15">
      <c r="A14" t="s">
        <v>150</v>
      </c>
      <c r="C14" s="7" t="s">
        <v>82</v>
      </c>
      <c r="F14" s="1">
        <v>44983</v>
      </c>
      <c r="J14" t="str">
        <f t="shared" si="0"/>
        <v>Open</v>
      </c>
    </row>
    <row r="15" spans="1:11" x14ac:dyDescent="0.15">
      <c r="A15" t="s">
        <v>151</v>
      </c>
      <c r="C15" s="7" t="s">
        <v>135</v>
      </c>
      <c r="F15" s="1">
        <v>44983</v>
      </c>
      <c r="J15" t="str">
        <f t="shared" si="0"/>
        <v>Open</v>
      </c>
      <c r="K15" t="s">
        <v>147</v>
      </c>
    </row>
  </sheetData>
  <conditionalFormatting sqref="A1:A1048576">
    <cfRule type="expression" dxfId="18" priority="21">
      <formula>$J1="Open"</formula>
    </cfRule>
  </conditionalFormatting>
  <conditionalFormatting sqref="C1:C1048576">
    <cfRule type="cellIs" dxfId="17" priority="2" operator="equal">
      <formula>"B"</formula>
    </cfRule>
    <cfRule type="cellIs" dxfId="16" priority="3" operator="equal">
      <formula>"A"</formula>
    </cfRule>
    <cfRule type="cellIs" dxfId="15" priority="4" operator="equal">
      <formula>"BUG"</formula>
    </cfRule>
  </conditionalFormatting>
  <conditionalFormatting sqref="D1 D7:D1048576">
    <cfRule type="cellIs" dxfId="14" priority="9" operator="equal">
      <formula>"TODO"</formula>
    </cfRule>
  </conditionalFormatting>
  <conditionalFormatting sqref="D1:D1048576">
    <cfRule type="cellIs" dxfId="13" priority="10" operator="equal">
      <formula>"A"</formula>
    </cfRule>
    <cfRule type="cellIs" dxfId="12" priority="11" operator="equal">
      <formula>"BUG"</formula>
    </cfRule>
    <cfRule type="cellIs" dxfId="11" priority="12" operator="equal">
      <formula>"B"</formula>
    </cfRule>
  </conditionalFormatting>
  <conditionalFormatting sqref="D2">
    <cfRule type="colorScale" priority="17">
      <colorScale>
        <cfvo type="min"/>
        <cfvo type="percentile" val="50"/>
        <cfvo type="max"/>
        <color rgb="FFFF0000"/>
        <color rgb="FFFFFF00"/>
        <color rgb="FF00A933"/>
      </colorScale>
    </cfRule>
    <cfRule type="cellIs" dxfId="10" priority="18" operator="equal">
      <formula>"TODO"</formula>
    </cfRule>
  </conditionalFormatting>
  <conditionalFormatting sqref="D3">
    <cfRule type="colorScale" priority="15">
      <colorScale>
        <cfvo type="min"/>
        <cfvo type="percentile" val="50"/>
        <cfvo type="max"/>
        <color rgb="FFFF0000"/>
        <color rgb="FFFFFF00"/>
        <color rgb="FF00A933"/>
      </colorScale>
    </cfRule>
    <cfRule type="cellIs" dxfId="9" priority="16" operator="equal">
      <formula>"TODO"</formula>
    </cfRule>
  </conditionalFormatting>
  <conditionalFormatting sqref="D4">
    <cfRule type="colorScale" priority="19">
      <colorScale>
        <cfvo type="min"/>
        <cfvo type="percentile" val="50"/>
        <cfvo type="max"/>
        <color rgb="FFFF0000"/>
        <color rgb="FFFFFF00"/>
        <color rgb="FF00A933"/>
      </colorScale>
    </cfRule>
    <cfRule type="cellIs" dxfId="8" priority="20" operator="equal">
      <formula>"TODO"</formula>
    </cfRule>
  </conditionalFormatting>
  <conditionalFormatting sqref="D5">
    <cfRule type="colorScale" priority="22">
      <colorScale>
        <cfvo type="min"/>
        <cfvo type="percentile" val="50"/>
        <cfvo type="max"/>
        <color rgb="FFFF0000"/>
        <color rgb="FFFFFF00"/>
        <color rgb="FF00A933"/>
      </colorScale>
    </cfRule>
    <cfRule type="cellIs" dxfId="7" priority="23" operator="equal">
      <formula>"TODO"</formula>
    </cfRule>
  </conditionalFormatting>
  <conditionalFormatting sqref="D6">
    <cfRule type="colorScale" priority="13">
      <colorScale>
        <cfvo type="min"/>
        <cfvo type="percentile" val="50"/>
        <cfvo type="max"/>
        <color rgb="FFFF0000"/>
        <color rgb="FFFFFF00"/>
        <color rgb="FF00A933"/>
      </colorScale>
    </cfRule>
    <cfRule type="cellIs" dxfId="6" priority="14" operator="equal">
      <formula>"TODO"</formula>
    </cfRule>
  </conditionalFormatting>
  <conditionalFormatting sqref="D7:D1048576 D1">
    <cfRule type="colorScale" priority="8">
      <colorScale>
        <cfvo type="min"/>
        <cfvo type="percentile" val="50"/>
        <cfvo type="max"/>
        <color rgb="FFFF0000"/>
        <color rgb="FFFFFF00"/>
        <color rgb="FF00A933"/>
      </colorScale>
    </cfRule>
  </conditionalFormatting>
  <conditionalFormatting sqref="J1:J1048576">
    <cfRule type="cellIs" dxfId="5" priority="5" operator="equal">
      <formula>"Done"</formula>
    </cfRule>
    <cfRule type="cellIs" dxfId="4" priority="6" operator="equal">
      <formula>"Processing"</formula>
    </cfRule>
    <cfRule type="cellIs" dxfId="3" priority="7" operator="equal">
      <formula>"Open"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2"/>
  <sheetViews>
    <sheetView zoomScale="130" zoomScaleNormal="130" workbookViewId="0">
      <selection activeCell="A10" sqref="A10"/>
    </sheetView>
  </sheetViews>
  <sheetFormatPr baseColWidth="10" defaultColWidth="11.5" defaultRowHeight="13" x14ac:dyDescent="0.15"/>
  <cols>
    <col min="1" max="1" width="24.5" customWidth="1"/>
    <col min="2" max="2" width="34.5" customWidth="1"/>
    <col min="3" max="3" width="33" customWidth="1"/>
    <col min="4" max="5" width="12.6640625" customWidth="1"/>
  </cols>
  <sheetData>
    <row r="1" spans="1:8" x14ac:dyDescent="0.15">
      <c r="A1" s="4" t="s">
        <v>152</v>
      </c>
      <c r="B1" s="4" t="s">
        <v>7</v>
      </c>
      <c r="C1" s="4" t="s">
        <v>153</v>
      </c>
      <c r="D1" s="4" t="s">
        <v>154</v>
      </c>
      <c r="E1" s="4" t="s">
        <v>155</v>
      </c>
      <c r="F1" s="4" t="s">
        <v>156</v>
      </c>
      <c r="G1" s="4" t="s">
        <v>157</v>
      </c>
      <c r="H1" s="4" t="s">
        <v>158</v>
      </c>
    </row>
    <row r="2" spans="1:8" x14ac:dyDescent="0.15">
      <c r="A2" t="s">
        <v>102</v>
      </c>
      <c r="B2" t="s">
        <v>159</v>
      </c>
      <c r="C2" t="s">
        <v>160</v>
      </c>
      <c r="D2" t="s">
        <v>161</v>
      </c>
      <c r="E2" t="s">
        <v>161</v>
      </c>
      <c r="F2" t="s">
        <v>162</v>
      </c>
      <c r="G2" t="s">
        <v>162</v>
      </c>
      <c r="H2" t="s">
        <v>86</v>
      </c>
    </row>
    <row r="3" spans="1:8" x14ac:dyDescent="0.15">
      <c r="A3" t="s">
        <v>163</v>
      </c>
      <c r="B3" t="s">
        <v>164</v>
      </c>
      <c r="C3" t="s">
        <v>165</v>
      </c>
      <c r="D3" t="s">
        <v>161</v>
      </c>
      <c r="E3" t="s">
        <v>161</v>
      </c>
      <c r="F3" t="s">
        <v>162</v>
      </c>
      <c r="G3" t="s">
        <v>162</v>
      </c>
      <c r="H3" t="s">
        <v>86</v>
      </c>
    </row>
    <row r="4" spans="1:8" x14ac:dyDescent="0.15">
      <c r="A4" t="s">
        <v>166</v>
      </c>
      <c r="B4" t="s">
        <v>167</v>
      </c>
      <c r="C4" t="s">
        <v>162</v>
      </c>
      <c r="D4" t="s">
        <v>161</v>
      </c>
      <c r="E4" t="s">
        <v>161</v>
      </c>
      <c r="F4" t="s">
        <v>162</v>
      </c>
      <c r="G4" t="s">
        <v>86</v>
      </c>
      <c r="H4" t="s">
        <v>86</v>
      </c>
    </row>
    <row r="5" spans="1:8" x14ac:dyDescent="0.15">
      <c r="A5" t="s">
        <v>168</v>
      </c>
      <c r="B5" t="s">
        <v>169</v>
      </c>
      <c r="C5" t="s">
        <v>160</v>
      </c>
      <c r="D5" t="s">
        <v>86</v>
      </c>
      <c r="E5" t="s">
        <v>162</v>
      </c>
      <c r="F5" t="s">
        <v>162</v>
      </c>
      <c r="G5" t="s">
        <v>170</v>
      </c>
      <c r="H5" t="s">
        <v>86</v>
      </c>
    </row>
    <row r="6" spans="1:8" x14ac:dyDescent="0.15">
      <c r="A6" t="s">
        <v>171</v>
      </c>
      <c r="B6" t="s">
        <v>172</v>
      </c>
      <c r="C6" t="s">
        <v>162</v>
      </c>
      <c r="D6" t="s">
        <v>161</v>
      </c>
      <c r="E6" t="s">
        <v>161</v>
      </c>
      <c r="H6" t="s">
        <v>86</v>
      </c>
    </row>
    <row r="7" spans="1:8" x14ac:dyDescent="0.15">
      <c r="A7" t="s">
        <v>173</v>
      </c>
      <c r="B7" t="s">
        <v>169</v>
      </c>
      <c r="C7" t="s">
        <v>160</v>
      </c>
      <c r="D7" t="s">
        <v>86</v>
      </c>
      <c r="E7" t="s">
        <v>162</v>
      </c>
    </row>
    <row r="8" spans="1:8" x14ac:dyDescent="0.15">
      <c r="A8" t="s">
        <v>174</v>
      </c>
      <c r="B8" t="s">
        <v>169</v>
      </c>
      <c r="C8" t="s">
        <v>160</v>
      </c>
      <c r="D8" t="s">
        <v>86</v>
      </c>
      <c r="E8" t="s">
        <v>162</v>
      </c>
      <c r="G8" t="s">
        <v>161</v>
      </c>
      <c r="H8" t="s">
        <v>162</v>
      </c>
    </row>
    <row r="9" spans="1:8" x14ac:dyDescent="0.15">
      <c r="A9" t="s">
        <v>175</v>
      </c>
      <c r="B9" t="s">
        <v>169</v>
      </c>
      <c r="C9" t="s">
        <v>160</v>
      </c>
      <c r="D9" t="s">
        <v>86</v>
      </c>
      <c r="E9" t="s">
        <v>86</v>
      </c>
    </row>
    <row r="10" spans="1:8" x14ac:dyDescent="0.15">
      <c r="A10" t="s">
        <v>176</v>
      </c>
      <c r="B10" t="s">
        <v>169</v>
      </c>
      <c r="C10" t="s">
        <v>160</v>
      </c>
      <c r="D10" t="s">
        <v>86</v>
      </c>
      <c r="E10" t="s">
        <v>86</v>
      </c>
    </row>
    <row r="13" spans="1:8" x14ac:dyDescent="0.15">
      <c r="A13" s="4" t="s">
        <v>113</v>
      </c>
    </row>
    <row r="14" spans="1:8" x14ac:dyDescent="0.15">
      <c r="A14" t="s">
        <v>177</v>
      </c>
      <c r="B14" t="s">
        <v>178</v>
      </c>
      <c r="C14" t="s">
        <v>160</v>
      </c>
      <c r="D14" t="s">
        <v>161</v>
      </c>
      <c r="E14" t="s">
        <v>161</v>
      </c>
    </row>
    <row r="15" spans="1:8" x14ac:dyDescent="0.15">
      <c r="A15" t="s">
        <v>179</v>
      </c>
      <c r="B15" t="s">
        <v>180</v>
      </c>
      <c r="C15" t="s">
        <v>162</v>
      </c>
      <c r="D15" t="s">
        <v>161</v>
      </c>
      <c r="E15" t="s">
        <v>161</v>
      </c>
    </row>
    <row r="16" spans="1:8" x14ac:dyDescent="0.15">
      <c r="A16" t="s">
        <v>181</v>
      </c>
      <c r="B16" t="s">
        <v>182</v>
      </c>
      <c r="C16" t="s">
        <v>162</v>
      </c>
      <c r="D16" t="s">
        <v>161</v>
      </c>
      <c r="E16" t="s">
        <v>161</v>
      </c>
    </row>
    <row r="17" spans="1:5" x14ac:dyDescent="0.15">
      <c r="A17" t="s">
        <v>183</v>
      </c>
      <c r="B17" t="s">
        <v>169</v>
      </c>
      <c r="C17" t="s">
        <v>160</v>
      </c>
      <c r="D17" t="s">
        <v>86</v>
      </c>
      <c r="E17" t="s">
        <v>86</v>
      </c>
    </row>
    <row r="18" spans="1:5" x14ac:dyDescent="0.15">
      <c r="A18" t="s">
        <v>184</v>
      </c>
      <c r="B18" t="s">
        <v>169</v>
      </c>
      <c r="C18" t="s">
        <v>160</v>
      </c>
    </row>
    <row r="21" spans="1:5" x14ac:dyDescent="0.15">
      <c r="A21" t="s">
        <v>185</v>
      </c>
    </row>
    <row r="22" spans="1:5" x14ac:dyDescent="0.15">
      <c r="A22" t="s">
        <v>186</v>
      </c>
      <c r="C22" t="s">
        <v>187</v>
      </c>
    </row>
  </sheetData>
  <conditionalFormatting sqref="D1:H1048576">
    <cfRule type="cellIs" dxfId="2" priority="2" operator="equal">
      <formula>"Ok"</formula>
    </cfRule>
    <cfRule type="cellIs" dxfId="1" priority="3" operator="equal">
      <formula>"Open"</formula>
    </cfRule>
    <cfRule type="cellIs" dxfId="0" priority="4" operator="equal">
      <formula>"Fail"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"/>
  <sheetViews>
    <sheetView zoomScale="130" zoomScaleNormal="130" workbookViewId="0">
      <selection activeCell="E17" sqref="E17"/>
    </sheetView>
  </sheetViews>
  <sheetFormatPr baseColWidth="10" defaultColWidth="11.5" defaultRowHeight="13" x14ac:dyDescent="0.15"/>
  <cols>
    <col min="1" max="1" width="19" style="4" customWidth="1"/>
    <col min="2" max="2" width="23.83203125" customWidth="1"/>
    <col min="3" max="3" width="22.83203125" customWidth="1"/>
    <col min="4" max="5" width="20.33203125" customWidth="1"/>
  </cols>
  <sheetData>
    <row r="1" spans="1:6" s="4" customFormat="1" x14ac:dyDescent="0.15">
      <c r="B1" s="4" t="s">
        <v>188</v>
      </c>
      <c r="C1" s="4" t="s">
        <v>189</v>
      </c>
      <c r="D1" s="4" t="s">
        <v>190</v>
      </c>
      <c r="E1" s="4" t="s">
        <v>7</v>
      </c>
      <c r="F1" s="4" t="s">
        <v>6</v>
      </c>
    </row>
    <row r="2" spans="1:6" x14ac:dyDescent="0.15">
      <c r="A2" s="4" t="s">
        <v>191</v>
      </c>
      <c r="B2" t="s">
        <v>192</v>
      </c>
      <c r="C2" t="s">
        <v>193</v>
      </c>
      <c r="D2" t="s">
        <v>194</v>
      </c>
      <c r="E2" t="s">
        <v>195</v>
      </c>
      <c r="F2" t="s">
        <v>86</v>
      </c>
    </row>
    <row r="3" spans="1:6" x14ac:dyDescent="0.15">
      <c r="A3" s="4" t="s">
        <v>196</v>
      </c>
      <c r="B3" t="s">
        <v>197</v>
      </c>
      <c r="C3" t="s">
        <v>193</v>
      </c>
      <c r="D3" t="s">
        <v>194</v>
      </c>
      <c r="E3" t="s">
        <v>195</v>
      </c>
      <c r="F3" t="s">
        <v>86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</vt:lpstr>
      <vt:lpstr>Roles</vt:lpstr>
      <vt:lpstr>Tech Debts</vt:lpstr>
      <vt:lpstr>Login Type</vt:lpstr>
      <vt:lpstr>Main Navi</vt:lpstr>
      <vt:lpstr>Identity</vt:lpstr>
      <vt:lpstr>Club</vt:lpstr>
      <vt:lpstr>API BackEnd</vt:lpstr>
      <vt:lpstr>Refactor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Fellow7000</cp:lastModifiedBy>
  <cp:revision>57</cp:revision>
  <dcterms:created xsi:type="dcterms:W3CDTF">2022-11-17T22:38:35Z</dcterms:created>
  <dcterms:modified xsi:type="dcterms:W3CDTF">2026-03-21T23:42:52Z</dcterms:modified>
  <dc:language>en-US</dc:language>
</cp:coreProperties>
</file>